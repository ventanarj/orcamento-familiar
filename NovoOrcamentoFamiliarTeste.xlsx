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60a1f47f5f1e988/Financeiro/"/>
    </mc:Choice>
  </mc:AlternateContent>
  <xr:revisionPtr revIDLastSave="1299" documentId="8_{59CE3293-D1CF-4317-9790-39296EFD13C7}" xr6:coauthVersionLast="47" xr6:coauthVersionMax="47" xr10:uidLastSave="{89F0707C-ECFE-491C-BA7D-6A9F1C1B36C8}"/>
  <bookViews>
    <workbookView xWindow="-120" yWindow="-120" windowWidth="20730" windowHeight="11160" tabRatio="875" activeTab="4" xr2:uid="{AA991EFA-6943-4EE9-ACD2-5B1BDF67E812}"/>
  </bookViews>
  <sheets>
    <sheet name="Listas" sheetId="12" r:id="rId1"/>
    <sheet name="Recebiveis - Resumo" sheetId="10" state="hidden" r:id="rId2"/>
    <sheet name="Definições" sheetId="2" r:id="rId3"/>
    <sheet name="Panorama" sheetId="4" r:id="rId4"/>
    <sheet name="Recebiveis" sheetId="9" r:id="rId5"/>
    <sheet name="Valores base" sheetId="1" r:id="rId6"/>
  </sheets>
  <definedNames>
    <definedName name="ano_inicio">'Valores base'!#REF!</definedName>
    <definedName name="cel_ano_inicio">'Valores base'!$C$20</definedName>
    <definedName name="cel_conta_principal">'Valores base'!$C$44</definedName>
    <definedName name="cel_data_fim">'Valores base'!$C$22</definedName>
    <definedName name="cel_data_inicio">'Valores base'!$C$4</definedName>
    <definedName name="cel_investimento">'Valores base'!$C$18</definedName>
    <definedName name="cel_investimento_outros">'Valores base'!$C$19</definedName>
    <definedName name="cel_lazer">'Valores base'!$C$16</definedName>
    <definedName name="cel_lazer_outros">'Valores base'!$C$17</definedName>
    <definedName name="cel_lista_categorias">'Valores base'!$C$42</definedName>
    <definedName name="cel_lista_contas">'Valores base'!$C$43</definedName>
    <definedName name="cel_necessidades_fixas">'Valores base'!$C$5</definedName>
    <definedName name="cel_necessidades_fixas_aloc">'Valores base'!$C$5</definedName>
    <definedName name="cel_necessidades_fixas_combustivel">'Valores base'!$C$13</definedName>
    <definedName name="cel_necessidades_fixas_corrida">'Valores base'!$C$11</definedName>
    <definedName name="cel_necessidades_fixas_estetica">'Valores base'!$C$12</definedName>
    <definedName name="cel_necessidades_fixas_farmacia">'Valores base'!$C$8</definedName>
    <definedName name="cel_necessidades_fixas_faxina">'Valores base'!$C$9</definedName>
    <definedName name="cel_necessidades_fixas_mercado">'Valores base'!$C$7</definedName>
    <definedName name="cel_necessidades_fixas_outros">'Valores base'!$C$6</definedName>
    <definedName name="cel_necessidades_fixas_transporte">'Valores base'!$C$10</definedName>
    <definedName name="cel_necessidades_ocasionais">'Valores base'!$C$14</definedName>
    <definedName name="cel_necessidades_ocasionais_outros">'Valores base'!$C$15</definedName>
    <definedName name="cel_patrimonio_atrasados">'Valores base'!$C$37</definedName>
    <definedName name="cel_priodo_tamanho">'Valores base'!$C$3</definedName>
    <definedName name="cel_recebiveis_adiantado">'Valores base'!$C$35</definedName>
    <definedName name="cel_recebiveis_atrasados">'Valores base'!$C$31</definedName>
    <definedName name="cel_recebiveis_atual">'Valores base'!$C$32</definedName>
    <definedName name="cel_recebiveis_atual_concreto">'Valores base'!$C$34</definedName>
    <definedName name="cel_recebiveis_atual_planejado">'Valores base'!$C$33</definedName>
    <definedName name="cel_recebiveis_futuros">'Valores base'!$C$36</definedName>
    <definedName name="cel_receita_total">'Valores base'!$C$45</definedName>
    <definedName name="cel_semana">'Valores base'!$C$21</definedName>
    <definedName name="cel_semana_atual">'Valores base'!$C$47</definedName>
    <definedName name="cel_semana_atual_fim">'Valores base'!$C$48</definedName>
    <definedName name="cel_semana1">'Valores base'!$C$23</definedName>
    <definedName name="cel_semana1_perc">'Valores base'!$C$27</definedName>
    <definedName name="cel_semana2">'Valores base'!$C$24</definedName>
    <definedName name="cel_semana2_perc">'Valores base'!$C$28</definedName>
    <definedName name="cel_semana3">'Valores base'!$C$25</definedName>
    <definedName name="cel_semana3_perc">'Valores base'!$C$29</definedName>
    <definedName name="cel_semana3_perf">'Valores base'!$C$29</definedName>
    <definedName name="cel_semana4">'Valores base'!$C$26</definedName>
    <definedName name="cel_semana4_perc">'Valores base'!$C$30</definedName>
    <definedName name="celsemana">'Valores base'!$C$21</definedName>
    <definedName name="col_semana_atual">'Valores base'!$C$46</definedName>
    <definedName name="data_fim">'Valores base'!#REF!</definedName>
    <definedName name="data_inicio">'Valores base'!#REF!</definedName>
    <definedName name="data_inicio_old">'Valores base'!#REF!</definedName>
    <definedName name="priodo_tamanho">'Valores base'!$C$3</definedName>
    <definedName name="recebiveis_atrasado">Recebiveis!$F$1</definedName>
    <definedName name="recebiveis_atual">Recebiveis!$F$2</definedName>
    <definedName name="recebiveis_futuros">Recebiveis!$F$3</definedName>
    <definedName name="semana">'Valores base'!#REF!</definedName>
    <definedName name="semana1">'Valores base'!#REF!</definedName>
    <definedName name="semana1_perc">'Valores base'!#REF!</definedName>
    <definedName name="semana2">'Valores base'!#REF!</definedName>
    <definedName name="semana2_perc">'Valores base'!#REF!</definedName>
    <definedName name="semana3">'Valores base'!#REF!</definedName>
    <definedName name="semana3_perc">'Valores base'!#REF!</definedName>
    <definedName name="semana4">'Valores base'!#REF!</definedName>
    <definedName name="semana4_perc">'Valores base'!#REF!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6" i="1"/>
  <c r="C14" i="1"/>
  <c r="C13" i="1"/>
  <c r="O14" i="4" s="1"/>
  <c r="C12" i="1"/>
  <c r="O13" i="4" s="1"/>
  <c r="C11" i="1"/>
  <c r="O12" i="4" s="1"/>
  <c r="C10" i="1"/>
  <c r="O11" i="4" s="1"/>
  <c r="C9" i="1"/>
  <c r="O10" i="4" s="1"/>
  <c r="C8" i="1"/>
  <c r="O9" i="4" s="1"/>
  <c r="C7" i="1"/>
  <c r="O8" i="4" s="1"/>
  <c r="C5" i="1"/>
  <c r="C4" i="1"/>
  <c r="C20" i="1" s="1"/>
  <c r="C3" i="1"/>
  <c r="B2" i="12" a="1"/>
  <c r="B2" i="12" s="1"/>
  <c r="A2" i="12" a="1"/>
  <c r="A2" i="12" s="1"/>
  <c r="C8" i="10"/>
  <c r="C9" i="10"/>
  <c r="C10" i="10"/>
  <c r="C11" i="10"/>
  <c r="C12" i="10"/>
  <c r="C13" i="10"/>
  <c r="C14" i="10"/>
  <c r="C15" i="10"/>
  <c r="C7" i="10"/>
  <c r="E1" i="9"/>
  <c r="C23" i="1" l="1"/>
  <c r="C21" i="1"/>
  <c r="B1" i="2"/>
  <c r="C22" i="1"/>
  <c r="C24" i="1" l="1"/>
  <c r="D6" i="4"/>
  <c r="D10" i="4"/>
  <c r="D14" i="4"/>
  <c r="D13" i="4"/>
  <c r="D7" i="4"/>
  <c r="D11" i="4"/>
  <c r="D4" i="4"/>
  <c r="D9" i="4"/>
  <c r="D8" i="4"/>
  <c r="D12" i="4"/>
  <c r="D5" i="4"/>
  <c r="L2" i="4"/>
  <c r="C45" i="1"/>
  <c r="C25" i="1"/>
  <c r="C27" i="1"/>
  <c r="C17" i="1" l="1"/>
  <c r="C15" i="1"/>
  <c r="C19" i="1"/>
  <c r="C6" i="1"/>
  <c r="F2" i="4"/>
  <c r="C26" i="1"/>
  <c r="J10" i="4" s="1"/>
  <c r="G5" i="4"/>
  <c r="G9" i="4"/>
  <c r="G13" i="4"/>
  <c r="G12" i="4"/>
  <c r="G6" i="4"/>
  <c r="G10" i="4"/>
  <c r="G14" i="4"/>
  <c r="G7" i="4"/>
  <c r="G11" i="4"/>
  <c r="G4" i="4"/>
  <c r="C2" i="4"/>
  <c r="G8" i="4"/>
  <c r="C28" i="1"/>
  <c r="C46" i="1"/>
  <c r="C12" i="4"/>
  <c r="E12" i="4" s="1"/>
  <c r="C13" i="4"/>
  <c r="E13" i="4" s="1"/>
  <c r="C11" i="4"/>
  <c r="E11" i="4" s="1"/>
  <c r="C10" i="4"/>
  <c r="E10" i="4" s="1"/>
  <c r="C9" i="4"/>
  <c r="E9" i="4" s="1"/>
  <c r="C14" i="4"/>
  <c r="E14" i="4" s="1"/>
  <c r="C8" i="4"/>
  <c r="E8" i="4" s="1"/>
  <c r="C29" i="1"/>
  <c r="C30" i="1" l="1"/>
  <c r="J14" i="4"/>
  <c r="J9" i="4"/>
  <c r="J5" i="4"/>
  <c r="J8" i="4"/>
  <c r="C8" i="2"/>
  <c r="O5" i="4"/>
  <c r="M5" i="4"/>
  <c r="M9" i="4"/>
  <c r="M13" i="4"/>
  <c r="I2" i="4"/>
  <c r="M6" i="4"/>
  <c r="M10" i="4"/>
  <c r="M14" i="4"/>
  <c r="M8" i="4"/>
  <c r="M12" i="4"/>
  <c r="M7" i="4"/>
  <c r="M11" i="4"/>
  <c r="M4" i="4"/>
  <c r="C48" i="1"/>
  <c r="J11" i="4"/>
  <c r="J6" i="4"/>
  <c r="J4" i="4"/>
  <c r="C9" i="2"/>
  <c r="O6" i="4"/>
  <c r="C6" i="4" s="1"/>
  <c r="E6" i="4" s="1"/>
  <c r="C47" i="1"/>
  <c r="J7" i="4"/>
  <c r="J13" i="4"/>
  <c r="J12" i="4"/>
  <c r="C7" i="2"/>
  <c r="O4" i="4"/>
  <c r="C4" i="4" s="1"/>
  <c r="E4" i="4" s="1"/>
  <c r="C37" i="1"/>
  <c r="C31" i="1"/>
  <c r="F1" i="9" s="1"/>
  <c r="E11" i="2" a="1"/>
  <c r="D5" i="2" a="1"/>
  <c r="E15" i="2" a="1"/>
  <c r="E7" i="2" a="1"/>
  <c r="E13" i="2" a="1"/>
  <c r="E14" i="2" a="1"/>
  <c r="E9" i="2" a="1"/>
  <c r="E17" i="2" a="1"/>
  <c r="E12" i="2" a="1"/>
  <c r="E8" i="2" a="1"/>
  <c r="E10" i="2" a="1"/>
  <c r="E16" i="2" a="1"/>
  <c r="P5" i="4" l="1"/>
  <c r="Q5" i="4" s="1"/>
  <c r="D5" i="2"/>
  <c r="E11" i="2"/>
  <c r="C5" i="4"/>
  <c r="E5" i="4" s="1"/>
  <c r="E13" i="2"/>
  <c r="E16" i="2"/>
  <c r="E9" i="2"/>
  <c r="E14" i="2"/>
  <c r="E7" i="2"/>
  <c r="E10" i="2"/>
  <c r="E8" i="2"/>
  <c r="E12" i="2"/>
  <c r="E15" i="2"/>
  <c r="E17" i="2"/>
  <c r="C33" i="1"/>
  <c r="C41" i="1"/>
  <c r="C40" i="1"/>
  <c r="C35" i="1"/>
  <c r="C36" i="1"/>
  <c r="F3" i="9" s="1"/>
  <c r="C34" i="1"/>
  <c r="C39" i="1"/>
  <c r="C38" i="1"/>
  <c r="C32" i="1" l="1"/>
  <c r="E18" i="2"/>
  <c r="C10" i="2"/>
  <c r="C18" i="2" s="1"/>
  <c r="O7" i="4"/>
  <c r="C7" i="4" s="1"/>
  <c r="E7" i="4" s="1"/>
  <c r="F2" i="9"/>
  <c r="O15" i="4" l="1"/>
  <c r="E3" i="9"/>
  <c r="D15" i="4" l="1"/>
  <c r="F14" i="4" l="1"/>
  <c r="F13" i="4"/>
  <c r="F12" i="4"/>
  <c r="F11" i="4"/>
  <c r="F10" i="4"/>
  <c r="H10" i="4" s="1"/>
  <c r="F9" i="4"/>
  <c r="F8" i="4"/>
  <c r="F7" i="4"/>
  <c r="H7" i="4" s="1"/>
  <c r="F6" i="4"/>
  <c r="H6" i="4" s="1"/>
  <c r="F5" i="4"/>
  <c r="F4" i="4"/>
  <c r="H4" i="4" s="1"/>
  <c r="P12" i="4"/>
  <c r="Q12" i="4" s="1"/>
  <c r="P7" i="4"/>
  <c r="Q7" i="4" s="1"/>
  <c r="G15" i="4"/>
  <c r="E15" i="4"/>
  <c r="C15" i="4"/>
  <c r="H8" i="4" l="1"/>
  <c r="I8" i="4" s="1"/>
  <c r="K8" i="4" s="1"/>
  <c r="H12" i="4"/>
  <c r="I12" i="4" s="1"/>
  <c r="K12" i="4" s="1"/>
  <c r="H5" i="4"/>
  <c r="I5" i="4" s="1"/>
  <c r="K5" i="4" s="1"/>
  <c r="H9" i="4"/>
  <c r="I9" i="4" s="1"/>
  <c r="K9" i="4" s="1"/>
  <c r="H13" i="4"/>
  <c r="I13" i="4" s="1"/>
  <c r="K13" i="4" s="1"/>
  <c r="H14" i="4"/>
  <c r="I14" i="4" s="1"/>
  <c r="K14" i="4" s="1"/>
  <c r="H11" i="4"/>
  <c r="I11" i="4" s="1"/>
  <c r="K11" i="4" s="1"/>
  <c r="I10" i="4"/>
  <c r="K10" i="4" s="1"/>
  <c r="I7" i="4"/>
  <c r="K7" i="4" s="1"/>
  <c r="I6" i="4"/>
  <c r="I4" i="4"/>
  <c r="K4" i="4" s="1"/>
  <c r="P9" i="4"/>
  <c r="Q9" i="4" s="1"/>
  <c r="P14" i="4"/>
  <c r="Q14" i="4" s="1"/>
  <c r="P4" i="4"/>
  <c r="Q4" i="4" s="1"/>
  <c r="P8" i="4"/>
  <c r="Q8" i="4" s="1"/>
  <c r="P10" i="4"/>
  <c r="Q10" i="4" s="1"/>
  <c r="P13" i="4"/>
  <c r="Q13" i="4" s="1"/>
  <c r="M15" i="4"/>
  <c r="P6" i="4"/>
  <c r="Q6" i="4" s="1"/>
  <c r="J15" i="4"/>
  <c r="P11" i="4"/>
  <c r="Q11" i="4" s="1"/>
  <c r="F15" i="4"/>
  <c r="H15" i="4" l="1"/>
  <c r="K6" i="4"/>
  <c r="L6" i="4" s="1"/>
  <c r="L9" i="4"/>
  <c r="L14" i="4"/>
  <c r="N14" i="4" s="1"/>
  <c r="L13" i="4"/>
  <c r="N13" i="4" s="1"/>
  <c r="L12" i="4"/>
  <c r="N12" i="4" s="1"/>
  <c r="L11" i="4"/>
  <c r="N11" i="4" s="1"/>
  <c r="L10" i="4"/>
  <c r="N10" i="4" s="1"/>
  <c r="L8" i="4"/>
  <c r="N8" i="4" s="1"/>
  <c r="L7" i="4"/>
  <c r="N7" i="4" s="1"/>
  <c r="L5" i="4"/>
  <c r="N5" i="4" s="1"/>
  <c r="L4" i="4"/>
  <c r="N4" i="4" s="1"/>
  <c r="I15" i="4"/>
  <c r="P15" i="4"/>
  <c r="Q15" i="4"/>
  <c r="D9" i="2" a="1"/>
  <c r="D8" i="2" a="1"/>
  <c r="D14" i="2" a="1"/>
  <c r="D10" i="2" a="1"/>
  <c r="D7" i="2" a="1"/>
  <c r="D13" i="2" a="1"/>
  <c r="D16" i="2" a="1"/>
  <c r="D11" i="2" a="1"/>
  <c r="D15" i="2" a="1"/>
  <c r="D12" i="2" a="1"/>
  <c r="D17" i="2" a="1"/>
  <c r="K15" i="4" l="1"/>
  <c r="D9" i="2"/>
  <c r="D12" i="2"/>
  <c r="N6" i="4"/>
  <c r="N9" i="4"/>
  <c r="D7" i="2"/>
  <c r="D17" i="2"/>
  <c r="D14" i="2"/>
  <c r="D15" i="2"/>
  <c r="D13" i="2"/>
  <c r="D8" i="2"/>
  <c r="D10" i="2"/>
  <c r="D11" i="2"/>
  <c r="D16" i="2"/>
  <c r="L15" i="4"/>
  <c r="F9" i="2" a="1"/>
  <c r="F13" i="2" a="1"/>
  <c r="F11" i="2" a="1"/>
  <c r="F14" i="2" a="1"/>
  <c r="F16" i="2" a="1"/>
  <c r="F17" i="2" a="1"/>
  <c r="F12" i="2" a="1"/>
  <c r="F10" i="2" a="1"/>
  <c r="F7" i="2" a="1"/>
  <c r="F8" i="2" a="1"/>
  <c r="F15" i="2" a="1"/>
  <c r="F12" i="2" l="1"/>
  <c r="D18" i="2"/>
  <c r="F16" i="2"/>
  <c r="F11" i="2"/>
  <c r="F15" i="2"/>
  <c r="F9" i="2"/>
  <c r="F8" i="2"/>
  <c r="F17" i="2"/>
  <c r="F13" i="2"/>
  <c r="F7" i="2"/>
  <c r="F10" i="2"/>
  <c r="F14" i="2"/>
  <c r="N15" i="4"/>
  <c r="F1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Ferreira de Souza</author>
  </authors>
  <commentList>
    <comment ref="B4" authorId="0" shapeId="0" xr:uid="{55270D3F-24D5-4598-AEF4-42C13A5CAE90}">
      <text>
        <r>
          <rPr>
            <b/>
            <sz val="9"/>
            <color indexed="81"/>
            <rFont val="Segoe UI"/>
            <family val="2"/>
          </rPr>
          <t>Rodrigo Ferreira de Souza:</t>
        </r>
        <r>
          <rPr>
            <sz val="9"/>
            <color indexed="81"/>
            <rFont val="Segoe UI"/>
            <family val="2"/>
          </rPr>
          <t xml:space="preserve">
Data prevista para areceita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<sst xmlns="http://schemas.openxmlformats.org/spreadsheetml/2006/main" count="2660" uniqueCount="738">
  <si>
    <t>data_inicio</t>
  </si>
  <si>
    <t>ano_inicio</t>
  </si>
  <si>
    <t>semana</t>
  </si>
  <si>
    <t>data_fim</t>
  </si>
  <si>
    <t>Semana1</t>
  </si>
  <si>
    <t>Semana2</t>
  </si>
  <si>
    <t>Semana3</t>
  </si>
  <si>
    <t>Semana4</t>
  </si>
  <si>
    <t>seamana1_perc</t>
  </si>
  <si>
    <t>semana2_perc</t>
  </si>
  <si>
    <t>semana3_perc</t>
  </si>
  <si>
    <t>semana4_perc</t>
  </si>
  <si>
    <t>Variavel</t>
  </si>
  <si>
    <t>Valor</t>
  </si>
  <si>
    <t>Descrição</t>
  </si>
  <si>
    <t>periodo_tamanho</t>
  </si>
  <si>
    <t>Numero de dias do periodo</t>
  </si>
  <si>
    <t>Data de iniciodo periodo</t>
  </si>
  <si>
    <t>Necessidades fixas</t>
  </si>
  <si>
    <t>Percentual de alocação de recursos de recebiveis para necessidades fixas</t>
  </si>
  <si>
    <t>Necessidades fixas[Outros]</t>
  </si>
  <si>
    <t>Valor bruto reservado para as demais necessidades fixas</t>
  </si>
  <si>
    <t>Necessidades fixas[Mercado]</t>
  </si>
  <si>
    <t>Valor bruto reservado para mercado de despeza fixa</t>
  </si>
  <si>
    <t>Necessidades fixas[Farmácia]</t>
  </si>
  <si>
    <t>Valor bruto reservado para farmacia de despeza fixa</t>
  </si>
  <si>
    <t>Necessidades fixas[Faxina]</t>
  </si>
  <si>
    <t>Valor bruto reservado para faxina de despeza fixa</t>
  </si>
  <si>
    <t>Necessidades fixas[Transporte]</t>
  </si>
  <si>
    <t>Valor bruto reservado para transporte de despeza fixa</t>
  </si>
  <si>
    <t>Necessidades fixas[Corrida]</t>
  </si>
  <si>
    <t>Valor bruto reservado para corrida de despeza fixa</t>
  </si>
  <si>
    <t>Necessidades fixas[Estetica]</t>
  </si>
  <si>
    <t>Valor bruto reservado para estética de despeza fixa</t>
  </si>
  <si>
    <t>Necessidades fixas[Combustível]</t>
  </si>
  <si>
    <t>Valor bruto reservado para combustivel de despeza fixa</t>
  </si>
  <si>
    <t>Necessidades ocasionais</t>
  </si>
  <si>
    <t>Percentual de alocação de recebiveis para necessidades ocasionais</t>
  </si>
  <si>
    <t>Necessidades ocasionais[Outros]</t>
  </si>
  <si>
    <t>Valor bruto reservado para as demais necessidades ocasionais</t>
  </si>
  <si>
    <t>Lazer</t>
  </si>
  <si>
    <t>Percentual de alocação de recebiveis para lazer</t>
  </si>
  <si>
    <t>Lazer[Outros]</t>
  </si>
  <si>
    <t>Valor bruto reservado para os demais valores lazer</t>
  </si>
  <si>
    <t>Investimento</t>
  </si>
  <si>
    <t>Percentual de alocação de recebiveis para investimentos</t>
  </si>
  <si>
    <t>Investimento[Outros]</t>
  </si>
  <si>
    <t>Valor bruto reservado para os demais valores de investimento</t>
  </si>
  <si>
    <t>ano do periodo</t>
  </si>
  <si>
    <t>Numero da primeira semana do perio escolhido</t>
  </si>
  <si>
    <t>Data de fim do periodo</t>
  </si>
  <si>
    <t>Data de inicio da primeira semana</t>
  </si>
  <si>
    <t>Data de inicio da segunda semana</t>
  </si>
  <si>
    <t>Data de inicio da terceira semana</t>
  </si>
  <si>
    <t>Data de inicio da quarta semana</t>
  </si>
  <si>
    <t>Percentual de alocação para primeira semana</t>
  </si>
  <si>
    <t>Percentual de alocação para segunda semana</t>
  </si>
  <si>
    <t>Percentual de alocação para terceira semana</t>
  </si>
  <si>
    <t>Percentual de alocação para quarta semana</t>
  </si>
  <si>
    <t>recebiveis_atrasdos</t>
  </si>
  <si>
    <t>Soma de todos os recebíveis atrasados não pagos</t>
  </si>
  <si>
    <t>recebiveis_atual</t>
  </si>
  <si>
    <t>recebiveis_atual_planejado</t>
  </si>
  <si>
    <t>Soma de todos os recebiveis do periodo atual ainda não recebidos</t>
  </si>
  <si>
    <t>recebiveis_atual_concreto</t>
  </si>
  <si>
    <t>Soma de todos os recebiveis do periodo atual já recebidos</t>
  </si>
  <si>
    <t>recebiveis_adiantados</t>
  </si>
  <si>
    <t>Soma de todos os recebiveis futuros que estão sendo pagos no periodo atual</t>
  </si>
  <si>
    <t>recebiveis_futuros</t>
  </si>
  <si>
    <t>Soma de todos os recebíveis futuros ainda não pagos</t>
  </si>
  <si>
    <t>patrimonio_atrasdos</t>
  </si>
  <si>
    <t>Valores relacionados a patrimonio que ainda não foram executados</t>
  </si>
  <si>
    <t>patrimonio_atual_planejado</t>
  </si>
  <si>
    <t>Valores relacionados a patrimonio que serão executados no periodo atual</t>
  </si>
  <si>
    <t>patrimonio_atual_concreto</t>
  </si>
  <si>
    <t>Valores relacionados a patrimonio que foram executados no periodo atual</t>
  </si>
  <si>
    <t>patrimonio_adiantados</t>
  </si>
  <si>
    <t>Valores relacionados a patrimonio que foram executados de forma adiantada</t>
  </si>
  <si>
    <t>patrimonio_futuros</t>
  </si>
  <si>
    <t>Valores relacionados a patrimonio planejados para serem executados</t>
  </si>
  <si>
    <t>categorias</t>
  </si>
  <si>
    <t>Necessidades fixas[Outras],Necessidades fixas[Mercado],Necessidades fixas[Farmácia],Necessidades fixas[Faxina],Necessidades fixas[Transporte],Necessidades fixas[Corrida],Necessidades fixas[Estetica],Necessidades fixas[Combustível],Lazer[Outras],Necessidades ocasionais[Outras],Investimentos[Outros],Proventos[Outros]</t>
  </si>
  <si>
    <t>Lista separada por virgula com todas as categorias existentes</t>
  </si>
  <si>
    <t>contas</t>
  </si>
  <si>
    <t>Emprestimo BB,Cartão BB,Conta BB[108376-7],Vargas1140-309,Terrenos SPA,Casa Joliva</t>
  </si>
  <si>
    <t>Lista separada por virgula com todas as contas existentes</t>
  </si>
  <si>
    <t>conta principal</t>
  </si>
  <si>
    <t>Conta BB[108376-7]</t>
  </si>
  <si>
    <t>Conta principal que fará os calculos das subcategorias de despesas fixas</t>
  </si>
  <si>
    <t>Casa Joliva</t>
  </si>
  <si>
    <t>Recebíveis</t>
  </si>
  <si>
    <t>Atual:</t>
  </si>
  <si>
    <t>Data</t>
  </si>
  <si>
    <t>item</t>
  </si>
  <si>
    <t>Conta</t>
  </si>
  <si>
    <t>Categoria</t>
  </si>
  <si>
    <t>Recebido</t>
  </si>
  <si>
    <t>valor</t>
  </si>
  <si>
    <t>Emprestimo BB (Valor recebido)</t>
  </si>
  <si>
    <t>Emprestimo BB</t>
  </si>
  <si>
    <t>Necessidades fixas[Outras]</t>
  </si>
  <si>
    <t>Emprestimo BB 1 de 96</t>
  </si>
  <si>
    <t>Emprestimo BB 2 de 96</t>
  </si>
  <si>
    <t>Emprestimo BB 3 de 96</t>
  </si>
  <si>
    <t>Emprestimo BB 4 de 96</t>
  </si>
  <si>
    <t>Emprestimo BB 5 de 96</t>
  </si>
  <si>
    <t>Emprestimo BB 6 de 96</t>
  </si>
  <si>
    <t>Emprestimo BB 7 de 96</t>
  </si>
  <si>
    <t>Emprestimo BB 8 de 96</t>
  </si>
  <si>
    <t>Emprestimo BB 9 de 96</t>
  </si>
  <si>
    <t>Emprestimo BB 10 de 96</t>
  </si>
  <si>
    <t>Emprestimo BB 11 de 96</t>
  </si>
  <si>
    <t>Emprestimo BB 12 de 96</t>
  </si>
  <si>
    <t>Emprestimo BB 13 de 96</t>
  </si>
  <si>
    <t>Emprestimo BB 14 de 96</t>
  </si>
  <si>
    <t>Emprestimo BB 15 de 96</t>
  </si>
  <si>
    <t>Emprestimo BB 16 de 96</t>
  </si>
  <si>
    <t>Emprestimo BB 17 de 96</t>
  </si>
  <si>
    <t>Emprestimo BB 18 de 96</t>
  </si>
  <si>
    <t>Emprestimo BB 19 de 96</t>
  </si>
  <si>
    <t>Emprestimo BB 20 de 96</t>
  </si>
  <si>
    <t>Emprestimo BB 21 de 96</t>
  </si>
  <si>
    <t>Emprestimo BB 22 de 96</t>
  </si>
  <si>
    <t>Emprestimo BB 23 de 96</t>
  </si>
  <si>
    <t>Emprestimo BB 24 de 96</t>
  </si>
  <si>
    <t>Emprestimo BB 25 de 96</t>
  </si>
  <si>
    <t>Emprestimo BB 26 de 96</t>
  </si>
  <si>
    <t>Emprestimo BB 27 de 96</t>
  </si>
  <si>
    <t>Emprestimo BB 28 de 96</t>
  </si>
  <si>
    <t>Emprestimo BB 29 de 96</t>
  </si>
  <si>
    <t>Emprestimo BB 30 de 96</t>
  </si>
  <si>
    <t>Emprestimo BB 31 de 96</t>
  </si>
  <si>
    <t>Emprestimo BB 32 de 96</t>
  </si>
  <si>
    <t>Emprestimo BB 33 de 96</t>
  </si>
  <si>
    <t>Aluguel Joliva</t>
  </si>
  <si>
    <t>Proventos[Outros]</t>
  </si>
  <si>
    <t>Emprestimo BB 34 de 96</t>
  </si>
  <si>
    <t>Emprestimo BB 35 de 96</t>
  </si>
  <si>
    <t>IPTU Joliva 1 de 10</t>
  </si>
  <si>
    <t>IPTU SPA</t>
  </si>
  <si>
    <t>Terrenos SPA</t>
  </si>
  <si>
    <t>IPTU Joliva 1 de 10 (Rita)</t>
  </si>
  <si>
    <t>IPTU Joliva 1 de 10 (Rafael)</t>
  </si>
  <si>
    <t>Emprestimo BB 36 de 96</t>
  </si>
  <si>
    <t>IPTU Joliva 1 de 10 (Rodrigo)</t>
  </si>
  <si>
    <t>IPTU Joliva 2 de 10 (Rita)</t>
  </si>
  <si>
    <t>IPTU Joliva 2 de 10 (Rafael)</t>
  </si>
  <si>
    <t>Emprestimo BB 37 de 96</t>
  </si>
  <si>
    <t>IPTU Joliva 2 de 10 (Rodrigo)</t>
  </si>
  <si>
    <t>Ajuda Lélia</t>
  </si>
  <si>
    <t>IPTU Joliva 2 de 10</t>
  </si>
  <si>
    <t>IPTU Joliva 3 de 10 (Rita)</t>
  </si>
  <si>
    <t>Emprestimo BB 38 de 96</t>
  </si>
  <si>
    <t>Salario Rodrigo</t>
  </si>
  <si>
    <t>IPTU Joliva 3 de 10 (Rafael)</t>
  </si>
  <si>
    <t>IPTU Joliva 3 de 10 (Rodrigo)</t>
  </si>
  <si>
    <t>IPTU Joliva 3 de 10</t>
  </si>
  <si>
    <t>Emprestimo BB 39 de 96</t>
  </si>
  <si>
    <t>IPTU Joliva 4 de 10 (Rita)</t>
  </si>
  <si>
    <t>IPTU Joliva 4 de 10 (Rafael)</t>
  </si>
  <si>
    <t>IPTU Joliva 4 de 10 (Rodrigo)</t>
  </si>
  <si>
    <t>Emprestimo BB 40 de 96</t>
  </si>
  <si>
    <t>IPTU Joliva 4 de 10</t>
  </si>
  <si>
    <t>IPTU Joliva 5 de 10 (Rita)</t>
  </si>
  <si>
    <t>IPTU Joliva 5 de 10 (Rafael)</t>
  </si>
  <si>
    <t>Emprestimo BB 41 de 96</t>
  </si>
  <si>
    <t>IPTU Joliva 5 de 10 (Rodrigo)</t>
  </si>
  <si>
    <t>IPTU Joliva 5 de 10</t>
  </si>
  <si>
    <t>IPTU Joliva 6 de 10 (Rita)</t>
  </si>
  <si>
    <t>Emprestimo BB 42 de 96</t>
  </si>
  <si>
    <t>IPTU Joliva 6 de 10 (Rafael)</t>
  </si>
  <si>
    <t>IPTU Joliva 6 de 10 (Rodrigo)</t>
  </si>
  <si>
    <t>IPTU Joliva 6 de 10</t>
  </si>
  <si>
    <t>Emprestimo BB 43 de 96</t>
  </si>
  <si>
    <t>IPTU Joliva 7 de 10 (Rita)</t>
  </si>
  <si>
    <t>IPTU Joliva 7 de 10 (Rafael)</t>
  </si>
  <si>
    <t>IPTU Joliva 7 de 10 (Rodrigo)</t>
  </si>
  <si>
    <t>Emprestimo BB 44 de 96</t>
  </si>
  <si>
    <t>IPTU Joliva 7 de 10</t>
  </si>
  <si>
    <t>Emprestimo BB 45 de 96</t>
  </si>
  <si>
    <t>Emprestimo BB 46 de 96</t>
  </si>
  <si>
    <t>Emprestimo BB 47 de 96</t>
  </si>
  <si>
    <t>Emprestimo BB 48 de 96</t>
  </si>
  <si>
    <t>Emprestimo BB 55 de 96</t>
  </si>
  <si>
    <t>Emprestimo BB 56 de 96</t>
  </si>
  <si>
    <t>Emprestimo BB 57 de 96</t>
  </si>
  <si>
    <t>Emprestimo BB 58 de 96</t>
  </si>
  <si>
    <t>Emprestimo BB 59 de 96</t>
  </si>
  <si>
    <t>Emprestimo BB 60 de 96</t>
  </si>
  <si>
    <t>Emprestimo BB 61 de 96</t>
  </si>
  <si>
    <t>Emprestimo BB 62 de 96</t>
  </si>
  <si>
    <t>Emprestimo BB 63 de 96</t>
  </si>
  <si>
    <t>Emprestimo BB 64 de 96</t>
  </si>
  <si>
    <t>Emprestimo BB 65 de 96</t>
  </si>
  <si>
    <t>Emprestimo BB 66 de 96</t>
  </si>
  <si>
    <t>Emprestimo BB 67 de 96</t>
  </si>
  <si>
    <t>Emprestimo BB 68 de 96</t>
  </si>
  <si>
    <t>Emprestimo BB 69 de 96</t>
  </si>
  <si>
    <t>Emprestimo BB 70 de 96</t>
  </si>
  <si>
    <t>Emprestimo BB 71 de 96</t>
  </si>
  <si>
    <t>Emprestimo BB 72 de 96</t>
  </si>
  <si>
    <t>Emprestimo BB 73 de 96</t>
  </si>
  <si>
    <t>Emprestimo BB 74 de 96</t>
  </si>
  <si>
    <t>Emprestimo BB 75 de 96</t>
  </si>
  <si>
    <t>Emprestimo BB 76 de 96</t>
  </si>
  <si>
    <t>Emprestimo BB 77 de 96</t>
  </si>
  <si>
    <t>Emprestimo BB 78 de 96</t>
  </si>
  <si>
    <t>Emprestimo BB 79 de 96</t>
  </si>
  <si>
    <t>Emprestimo BB 80 de 96</t>
  </si>
  <si>
    <t>Emprestimo BB 81 de 96</t>
  </si>
  <si>
    <t>Emprestimo BB 82 de 96</t>
  </si>
  <si>
    <t>Emprestimo BB 83 de 96</t>
  </si>
  <si>
    <t>Emprestimo BB 84 de 96</t>
  </si>
  <si>
    <t>Emprestimo BB 85 de 96</t>
  </si>
  <si>
    <t>Emprestimo BB 86 de 96</t>
  </si>
  <si>
    <t>Emprestimo BB 87 de 96</t>
  </si>
  <si>
    <t>Emprestimo BB 88 de 96</t>
  </si>
  <si>
    <t>Emprestimo BB 89 de 96</t>
  </si>
  <si>
    <t>Emprestimo BB 90 de 96</t>
  </si>
  <si>
    <t>Emprestimo BB 91 de 96</t>
  </si>
  <si>
    <t>Emprestimo BB 92 de 96</t>
  </si>
  <si>
    <t>Emprestimo BB 93 de 96</t>
  </si>
  <si>
    <t>Emprestimo BB 94 de 96</t>
  </si>
  <si>
    <t>Emprestimo BB 95 de 96</t>
  </si>
  <si>
    <t>Emprestimo BB 96 de 96</t>
  </si>
  <si>
    <t>Prestação durante obras 1</t>
  </si>
  <si>
    <t>Vargas1140-309</t>
  </si>
  <si>
    <t>Prestação durante obras 2</t>
  </si>
  <si>
    <t>Prestação durante obras 3</t>
  </si>
  <si>
    <t>Prestação durante obras 4</t>
  </si>
  <si>
    <t>Prestação durante obras 5</t>
  </si>
  <si>
    <t>Prestação durante obras 6</t>
  </si>
  <si>
    <t>Prestação durante obras 7</t>
  </si>
  <si>
    <t>Prestação durante obras 8</t>
  </si>
  <si>
    <t>IPTU Joliva 8 de 10 (Rita)</t>
  </si>
  <si>
    <t>IPTU Joliva 8 de 10 (Rafael)</t>
  </si>
  <si>
    <t>IPTU Joliva 8 de 10 (Rodrigo)</t>
  </si>
  <si>
    <t>IPTU Joliva 8 de 10</t>
  </si>
  <si>
    <t>IPTU Joliva 9 de 10 (Rita)</t>
  </si>
  <si>
    <t>IPTU Joliva 9 de 10 (Rafael)</t>
  </si>
  <si>
    <t>IPTU Joliva 9 de 10 (Rodrigo)</t>
  </si>
  <si>
    <t>IPTU Joliva 9 de 10</t>
  </si>
  <si>
    <t>IPTU Joliva 10 de 10 (Rita)</t>
  </si>
  <si>
    <t>IPTU Joliva 10 de 10 (Rafael)</t>
  </si>
  <si>
    <t>IPTU Joliva 10 de 10 (Rodrigo)</t>
  </si>
  <si>
    <t>IPTU Joliva 10 de 10</t>
  </si>
  <si>
    <t>Categorias</t>
  </si>
  <si>
    <t>Contas</t>
  </si>
  <si>
    <t>Patrimonio[Casa Joliva]</t>
  </si>
  <si>
    <t>Data inicio:</t>
  </si>
  <si>
    <t>Dias:</t>
  </si>
  <si>
    <t>Panorama</t>
  </si>
  <si>
    <t>Total</t>
  </si>
  <si>
    <t>Reservado</t>
  </si>
  <si>
    <t>Realizado</t>
  </si>
  <si>
    <t>Saldo</t>
  </si>
  <si>
    <t>cel_receitas</t>
  </si>
  <si>
    <t>total de receitas</t>
  </si>
  <si>
    <t>Investimento/Dividas:</t>
  </si>
  <si>
    <t>Lazer:</t>
  </si>
  <si>
    <t>Necessidades fixas:</t>
  </si>
  <si>
    <t>Necessidades ocasionais:</t>
  </si>
  <si>
    <t>col_semana_atual</t>
  </si>
  <si>
    <t>coluna que deve ser lida na tabela panorama para mostrar o desempenho da semana atual</t>
  </si>
  <si>
    <t>Reservado na semana</t>
  </si>
  <si>
    <t>Realizado na semana</t>
  </si>
  <si>
    <t>Saldo para semana</t>
  </si>
  <si>
    <t>Planejado para o ciclo</t>
  </si>
  <si>
    <t>nome da varaiavel que representa o inicio da semana atual</t>
  </si>
  <si>
    <t>cel_semana_atual</t>
  </si>
  <si>
    <t>cel_semana_atual_fim</t>
  </si>
  <si>
    <t>nome da varaiavel que representa o fim  da semana atual</t>
  </si>
  <si>
    <t>Lazer[Outras]</t>
  </si>
  <si>
    <t>Cartão BB</t>
  </si>
  <si>
    <t>Investimentos[Outros]</t>
  </si>
  <si>
    <t>Necessidades ocasionais[Outras]</t>
  </si>
  <si>
    <t>AMAZONMKTPLC* PARC 02/06 TIJUCAS</t>
  </si>
  <si>
    <t>KILO GRILL RESTAURANTE RIO DE JANEIR</t>
  </si>
  <si>
    <t>AMAZONMKTPLC* PARC 11/12</t>
  </si>
  <si>
    <t>ANUIDADE DIFERENCIADA ADC- PARC 11/12</t>
  </si>
  <si>
    <t>ANUIDADE DIFERENCIADA TIT- PARC 10/12</t>
  </si>
  <si>
    <t>DESC AUTOMATICO ANUD. TIT- PARC 10/12</t>
  </si>
  <si>
    <t>DESC AUTOMATICO ANUID ADC- PARC 11/12</t>
  </si>
  <si>
    <t>IG*myProfit PARC 10/12</t>
  </si>
  <si>
    <t>MAPFRE SEGURO PARC 16/18</t>
  </si>
  <si>
    <t>MP*ELECTROLUX PARC 10/10</t>
  </si>
  <si>
    <t>PG *LIBANO ED PARC 09/12</t>
  </si>
  <si>
    <t>TELE RIO PARC 12/12</t>
  </si>
  <si>
    <t>AMAZONMKTPLC* PARC 12/12</t>
  </si>
  <si>
    <t>ANUIDADE DIFERENCIADA ADC- PARC 12/12</t>
  </si>
  <si>
    <t>ANUIDADE DIFERENCIADA TIT- PARC 11/12</t>
  </si>
  <si>
    <t>DESC AUTOMATICO ANUD. TIT- PARC 11/12</t>
  </si>
  <si>
    <t>DESC AUTOMATICO ANUID ADC- PARC 12/12</t>
  </si>
  <si>
    <t>IG*myProfit PARC 11/12</t>
  </si>
  <si>
    <t>MAPFRE SEGURO PARC 17/18</t>
  </si>
  <si>
    <t>PG *LIBANO ED PARC 10/12</t>
  </si>
  <si>
    <t>ANUIDADE DIFERENCIADA TIT- PARC 12/12</t>
  </si>
  <si>
    <t>DESC AUTOMATICO ANUD. TIT- PARC 12/12</t>
  </si>
  <si>
    <t>IG*myProfit PARC 12/12</t>
  </si>
  <si>
    <t>MAPFRE SEGURO PARC 18/18</t>
  </si>
  <si>
    <t>PG *LIBANO ED PARC 11/12</t>
  </si>
  <si>
    <t>DON LEAL PIZZARIA FILI SAO PEDRO DA</t>
  </si>
  <si>
    <t>PG *LIBANO ED PARC 12/12</t>
  </si>
  <si>
    <t>AMAZON BR PARC 03/06</t>
  </si>
  <si>
    <t>AMAZON BR PARC 04/10</t>
  </si>
  <si>
    <t>AMAZONMKTPLC* PARC 03/06</t>
  </si>
  <si>
    <t>AMAZONMKTPLC* PARC 04/12</t>
  </si>
  <si>
    <t>ANUIDADE DIFERENCIADA ADC- PARC 04/12</t>
  </si>
  <si>
    <t>ANUIDADE DIFERENCIADA TIT- PARC 03/12</t>
  </si>
  <si>
    <t>ATACADAO 691 PARC 03/03</t>
  </si>
  <si>
    <t>BAZAR MELHOR PARC 03/04</t>
  </si>
  <si>
    <t>CASA E VIDEO PARC 06/09</t>
  </si>
  <si>
    <t>CEA NOV 580 E PARC 03/03</t>
  </si>
  <si>
    <t>COLOMBO AGROI PARC 04/04</t>
  </si>
  <si>
    <t>CONAMORE PARC 04/04</t>
  </si>
  <si>
    <t>CP *AMIGAO 25 PARC 04/05</t>
  </si>
  <si>
    <t>CP *AMIGAO 25 PARC 06/06</t>
  </si>
  <si>
    <t>CP *AMIGAO 25 PARC 06/10</t>
  </si>
  <si>
    <t>CP *AMIGAO 48 PARC 03/07</t>
  </si>
  <si>
    <t>CP *AMIGAO 48 PARC 06/10</t>
  </si>
  <si>
    <t>D MARSURA COM PARC 04/05</t>
  </si>
  <si>
    <t>DESC AUTOMATICO ANUD. TIT- PARC 03/12</t>
  </si>
  <si>
    <t>DESC AUTOMATICO ANUID ADC- PARC 04/12</t>
  </si>
  <si>
    <t>DI SANTINNI C PARC 05/05</t>
  </si>
  <si>
    <t>DI SANTINNI PARC 02/05</t>
  </si>
  <si>
    <t>DL *Temucom J PARC 03/06</t>
  </si>
  <si>
    <t>DROGARIAS PAC PARC 03/03</t>
  </si>
  <si>
    <t>EC *EMPORIOLU PARC 04/10</t>
  </si>
  <si>
    <t>ELECTROLUX el PARC 06/10</t>
  </si>
  <si>
    <t>FabricaDeOcul PARC 07/10</t>
  </si>
  <si>
    <t>GRUPO CASAS B PARC 02/05</t>
  </si>
  <si>
    <t>IG*myProfit PARC 03/12</t>
  </si>
  <si>
    <t>JIM.COM 52029 PARC 06/06</t>
  </si>
  <si>
    <t>KALUNGA PARK PARC 03/03</t>
  </si>
  <si>
    <t>LEROY MERLIN PARC 04/04</t>
  </si>
  <si>
    <t>LEROY MERLIN PARC 05/06</t>
  </si>
  <si>
    <t>LEROY MERLIN PARC 06/06</t>
  </si>
  <si>
    <t>MAPFRE SEGURO PARC 07/11</t>
  </si>
  <si>
    <t>MAPFRE SEGURO PARC 09/18</t>
  </si>
  <si>
    <t>MERCADO PAGO* PARC 02/03</t>
  </si>
  <si>
    <t>MERCADOLIVRE* PARC 03/04</t>
  </si>
  <si>
    <t>MERCADOLIVRE* PARC 04/05</t>
  </si>
  <si>
    <t>MERCADOLIVRE* PARC 04/10</t>
  </si>
  <si>
    <t>MP *SLEEPTIME PARC 04/10</t>
  </si>
  <si>
    <t>MP*2PRODUTOS PARC 06/06</t>
  </si>
  <si>
    <t>MP*2PRODUTOS PARC 06/12</t>
  </si>
  <si>
    <t>MP*BWINXECOMM PARC 04/10</t>
  </si>
  <si>
    <t>MP*ELECTROLUX PARC 03/10</t>
  </si>
  <si>
    <t>MP*MERCADOLIV PARC 03/06</t>
  </si>
  <si>
    <t>NEW TONY PARC 02/02</t>
  </si>
  <si>
    <t>PANASONIC DO PARC 06/12</t>
  </si>
  <si>
    <t>PG *LEROY MER PARC 04/08</t>
  </si>
  <si>
    <t>PG *LIBANO ED PARC 02/12</t>
  </si>
  <si>
    <t>PLANILHAANAMN PARC 12/12</t>
  </si>
  <si>
    <t>RDSAUDE ONLIN PARC 03/03</t>
  </si>
  <si>
    <t>SEMPRE TEM SA PARC 02/02</t>
  </si>
  <si>
    <t>SONHO DO MEIE PARC 04/10</t>
  </si>
  <si>
    <t>ShayenneChris PARC 07/12</t>
  </si>
  <si>
    <t>TELE RIO PARC 05/12</t>
  </si>
  <si>
    <t>WWW-CASASBAHI PARC 06/12</t>
  </si>
  <si>
    <t>tokstok-62079 PARC 05/09</t>
  </si>
  <si>
    <t>AMAZON BR PARC 04/06</t>
  </si>
  <si>
    <t>AMAZON BR PARC 05/10</t>
  </si>
  <si>
    <t>AMAZONMKTPLC* PARC 04/06</t>
  </si>
  <si>
    <t>AMAZONMKTPLC* PARC 05/12</t>
  </si>
  <si>
    <t>ANUIDADE DIFERENCIADA ADC- PARC 05/12</t>
  </si>
  <si>
    <t>ANUIDADE DIFERENCIADA TIT- PARC 04/12</t>
  </si>
  <si>
    <t>BAZAR MELHOR PARC 04/04</t>
  </si>
  <si>
    <t>CASA E VIDEO PARC 07/09</t>
  </si>
  <si>
    <t>CP *AMIGAO 25 PARC 05/05</t>
  </si>
  <si>
    <t>CP *AMIGAO 25 PARC 07/10</t>
  </si>
  <si>
    <t>CP *AMIGAO 48 PARC 04/07</t>
  </si>
  <si>
    <t>CP *AMIGAO 48 PARC 07/10</t>
  </si>
  <si>
    <t>D MARSURA COM PARC 05/05</t>
  </si>
  <si>
    <t>DESC AUTOMATICO ANUD. TIT- PARC 04/12</t>
  </si>
  <si>
    <t>DESC AUTOMATICO ANUID ADC- PARC 05/12</t>
  </si>
  <si>
    <t>DI SANTINNI PARC 03/05</t>
  </si>
  <si>
    <t>DL *Temucom J PARC 04/06</t>
  </si>
  <si>
    <t>EC *EMPORIOLU PARC 05/10</t>
  </si>
  <si>
    <t>ELECTROLUX el PARC 07/10</t>
  </si>
  <si>
    <t>FabricaDeOcul PARC 08/10</t>
  </si>
  <si>
    <t>GRUPO CASAS B PARC 03/05</t>
  </si>
  <si>
    <t>IG*myProfit PARC 04/12</t>
  </si>
  <si>
    <t>MAPFRE SEGURO PARC 08/11</t>
  </si>
  <si>
    <t>MAPFRE SEGURO PARC 10/18</t>
  </si>
  <si>
    <t>MERCADO PAGO* PARC 03/03</t>
  </si>
  <si>
    <t>MERCADOLIVRE* PARC 04/04</t>
  </si>
  <si>
    <t>MERCADOLIVRE* PARC 05/05</t>
  </si>
  <si>
    <t>MERCADOLIVRE* PARC 05/10</t>
  </si>
  <si>
    <t>MP *SLEEPTIME PARC 05/10</t>
  </si>
  <si>
    <t>MP*2PRODUTOS PARC 07/12</t>
  </si>
  <si>
    <t>MP*BWINXECOMM PARC 05/10</t>
  </si>
  <si>
    <t>MP*ELECTROLUX PARC 04/10</t>
  </si>
  <si>
    <t>MP*MERCADOLIV PARC 04/06</t>
  </si>
  <si>
    <t>PANASONIC DO PARC 07/12</t>
  </si>
  <si>
    <t>PG *LEROY MER PARC 05/08</t>
  </si>
  <si>
    <t>PG *LIBANO ED PARC 03/12</t>
  </si>
  <si>
    <t>SONHO DO MEIE PARC 05/10</t>
  </si>
  <si>
    <t>ShayenneChris PARC 08/12</t>
  </si>
  <si>
    <t>TELE RIO PARC 06/12</t>
  </si>
  <si>
    <t>WWW-CASASBAHI PARC 07/12</t>
  </si>
  <si>
    <t>tokstok-62079 PARC 06/09</t>
  </si>
  <si>
    <t>AMAZON BR PARC 05/06</t>
  </si>
  <si>
    <t>AMAZON BR PARC 06/10</t>
  </si>
  <si>
    <t>AMAZONMKTPLC* PARC 05/06</t>
  </si>
  <si>
    <t>AMAZONMKTPLC* PARC 06/12</t>
  </si>
  <si>
    <t>ANUIDADE DIFERENCIADA ADC- PARC 06/12</t>
  </si>
  <si>
    <t>ANUIDADE DIFERENCIADA TIT- PARC 05/12</t>
  </si>
  <si>
    <t>CASA E VIDEO PARC 08/09</t>
  </si>
  <si>
    <t>CP *AMIGAO 25 PARC 08/10</t>
  </si>
  <si>
    <t>CP *AMIGAO 48 PARC 05/07</t>
  </si>
  <si>
    <t>CP *AMIGAO 48 PARC 08/10</t>
  </si>
  <si>
    <t>DESC AUTOMATICO ANUD. TIT- PARC 05/12</t>
  </si>
  <si>
    <t>DESC AUTOMATICO ANUID ADC- PARC 06/12</t>
  </si>
  <si>
    <t>DI SANTINNI PARC 04/05</t>
  </si>
  <si>
    <t>DL *Temucom J PARC 05/06</t>
  </si>
  <si>
    <t>EC *EMPORIOLU PARC 06/10</t>
  </si>
  <si>
    <t>ELECTROLUX el PARC 08/10</t>
  </si>
  <si>
    <t>FabricaDeOcul PARC 09/10</t>
  </si>
  <si>
    <t>GRUPO CASAS B PARC 04/05</t>
  </si>
  <si>
    <t>IG*myProfit PARC 05/12</t>
  </si>
  <si>
    <t>MAPFRE SEGURO PARC 09/11</t>
  </si>
  <si>
    <t>MAPFRE SEGURO PARC 11/18</t>
  </si>
  <si>
    <t>MERCADOLIVRE* PARC 06/10</t>
  </si>
  <si>
    <t>MP *SLEEPTIME PARC 06/10</t>
  </si>
  <si>
    <t>MP*2PRODUTOS PARC 08/12</t>
  </si>
  <si>
    <t>MP*BWINXECOMM PARC 06/10</t>
  </si>
  <si>
    <t>MP*ELECTROLUX PARC 05/10</t>
  </si>
  <si>
    <t>MP*MERCADOLIV PARC 05/06</t>
  </si>
  <si>
    <t>PANASONIC DO PARC 08/12</t>
  </si>
  <si>
    <t>PG *LEROY MER PARC 06/08</t>
  </si>
  <si>
    <t>PG *LIBANO ED PARC 04/12</t>
  </si>
  <si>
    <t>SONHO DO MEIE PARC 06/10</t>
  </si>
  <si>
    <t>ShayenneChris PARC 09/12</t>
  </si>
  <si>
    <t>TELE RIO PARC 07/12</t>
  </si>
  <si>
    <t>WWW-CASASBAHI PARC 08/12</t>
  </si>
  <si>
    <t>tokstok-62079 PARC 07/09</t>
  </si>
  <si>
    <t>AMAZON BR PARC 06/06</t>
  </si>
  <si>
    <t>AMAZON BR PARC 07/10</t>
  </si>
  <si>
    <t>AMAZONMKTPLC* PARC 06/06</t>
  </si>
  <si>
    <t>AMAZONMKTPLC* PARC 07/12</t>
  </si>
  <si>
    <t>ANUIDADE DIFERENCIADA ADC- PARC 07/12</t>
  </si>
  <si>
    <t>ANUIDADE DIFERENCIADA TIT- PARC 06/12</t>
  </si>
  <si>
    <t>CASA E VIDEO PARC 09/09</t>
  </si>
  <si>
    <t>CP *AMIGAO 25 PARC 09/10</t>
  </si>
  <si>
    <t>CP *AMIGAO 48 PARC 06/07</t>
  </si>
  <si>
    <t>CP *AMIGAO 48 PARC 09/10</t>
  </si>
  <si>
    <t>DESC AUTOMATICO ANUD. TIT- PARC 06/12</t>
  </si>
  <si>
    <t>DESC AUTOMATICO ANUID ADC- PARC 07/12</t>
  </si>
  <si>
    <t>DI SANTINNI PARC 05/05</t>
  </si>
  <si>
    <t>DL *Temucom J PARC 06/06</t>
  </si>
  <si>
    <t>EC *EMPORIOLU PARC 07/10</t>
  </si>
  <si>
    <t>ELECTROLUX el PARC 09/10</t>
  </si>
  <si>
    <t>FabricaDeOcul PARC 10/10</t>
  </si>
  <si>
    <t>GRUPO CASAS B PARC 05/05</t>
  </si>
  <si>
    <t>IG*myProfit PARC 06/12</t>
  </si>
  <si>
    <t>MAPFRE SEGURO PARC 10/11</t>
  </si>
  <si>
    <t>MAPFRE SEGURO PARC 12/18</t>
  </si>
  <si>
    <t>MERCADOLIVRE* PARC 07/10</t>
  </si>
  <si>
    <t>MP *SLEEPTIME PARC 07/10</t>
  </si>
  <si>
    <t>MP*2PRODUTOS PARC 09/12</t>
  </si>
  <si>
    <t>MP*BWINXECOMM PARC 07/10</t>
  </si>
  <si>
    <t>MP*ELECTROLUX PARC 06/10</t>
  </si>
  <si>
    <t>MP*MERCADOLIV PARC 06/06</t>
  </si>
  <si>
    <t>PANASONIC DO PARC 09/12</t>
  </si>
  <si>
    <t>PG *LEROY MER PARC 07/08</t>
  </si>
  <si>
    <t>PG *LIBANO ED PARC 05/12</t>
  </si>
  <si>
    <t>SONHO DO MEIE PARC 07/10</t>
  </si>
  <si>
    <t>ShayenneChris PARC 10/12</t>
  </si>
  <si>
    <t>TELE RIO PARC 08/12</t>
  </si>
  <si>
    <t>WWW-CASASBAHI PARC 09/12</t>
  </si>
  <si>
    <t>tokstok-62079 PARC 08/09</t>
  </si>
  <si>
    <t>AMAZON BR PARC 08/10</t>
  </si>
  <si>
    <t>AMAZONMKTPLC* PARC 08/12</t>
  </si>
  <si>
    <t>ANUIDADE DIFERENCIADA ADC- PARC 08/12</t>
  </si>
  <si>
    <t>ANUIDADE DIFERENCIADA TIT- PARC 07/12</t>
  </si>
  <si>
    <t>CP *AMIGAO 25 PARC 10/10</t>
  </si>
  <si>
    <t>CP *AMIGAO 48 PARC 07/07</t>
  </si>
  <si>
    <t>CP *AMIGAO 48 PARC 10/10</t>
  </si>
  <si>
    <t>DESC AUTOMATICO ANUD. TIT- PARC 07/12</t>
  </si>
  <si>
    <t>DESC AUTOMATICO ANUID ADC- PARC 08/12</t>
  </si>
  <si>
    <t>EC *EMPORIOLU PARC 08/10</t>
  </si>
  <si>
    <t>ELECTROLUX el PARC 10/10</t>
  </si>
  <si>
    <t>IG*myProfit PARC 07/12</t>
  </si>
  <si>
    <t>MAPFRE SEGURO PARC 11/11</t>
  </si>
  <si>
    <t>MAPFRE SEGURO PARC 13/18</t>
  </si>
  <si>
    <t>MERCADOLIVRE* PARC 08/10</t>
  </si>
  <si>
    <t>MP *SLEEPTIME PARC 08/10</t>
  </si>
  <si>
    <t>MP*2PRODUTOS PARC 10/12</t>
  </si>
  <si>
    <t>MP*BWINXECOMM PARC 08/10</t>
  </si>
  <si>
    <t>MP*ELECTROLUX PARC 07/10</t>
  </si>
  <si>
    <t>PANASONIC DO PARC 10/12</t>
  </si>
  <si>
    <t>PG *LEROY MER PARC 08/08</t>
  </si>
  <si>
    <t>PG *LIBANO ED PARC 06/12</t>
  </si>
  <si>
    <t>SONHO DO MEIE PARC 08/10</t>
  </si>
  <si>
    <t>ShayenneChris PARC 11/12</t>
  </si>
  <si>
    <t>TELE RIO PARC 09/12</t>
  </si>
  <si>
    <t>WWW-CASASBAHI PARC 10/12</t>
  </si>
  <si>
    <t>tokstok-62079 PARC 09/09</t>
  </si>
  <si>
    <t>AMAZON BR PARC 09/10</t>
  </si>
  <si>
    <t>AMAZONMKTPLC* PARC 09/12</t>
  </si>
  <si>
    <t>ANUIDADE DIFERENCIADA ADC- PARC 09/12</t>
  </si>
  <si>
    <t>ANUIDADE DIFERENCIADA TIT- PARC 08/12</t>
  </si>
  <si>
    <t>DESC AUTOMATICO ANUD. TIT- PARC 08/12</t>
  </si>
  <si>
    <t>DESC AUTOMATICO ANUID ADC- PARC 09/12</t>
  </si>
  <si>
    <t>EC *EMPORIOLU PARC 09/10</t>
  </si>
  <si>
    <t>IG*myProfit PARC 08/12</t>
  </si>
  <si>
    <t>MAPFRE SEGURO PARC 14/18</t>
  </si>
  <si>
    <t>MERCADOLIVRE* PARC 09/10</t>
  </si>
  <si>
    <t>MP *SLEEPTIME PARC 09/10</t>
  </si>
  <si>
    <t>MP*2PRODUTOS PARC 11/12</t>
  </si>
  <si>
    <t>MP*BWINXECOMM PARC 09/10</t>
  </si>
  <si>
    <t>MP*ELECTROLUX PARC 08/10</t>
  </si>
  <si>
    <t>PANASONIC DO PARC 11/12</t>
  </si>
  <si>
    <t>PG *LIBANO ED PARC 07/12</t>
  </si>
  <si>
    <t>SONHO DO MEIE PARC 09/10</t>
  </si>
  <si>
    <t>ShayenneChris PARC 12/12</t>
  </si>
  <si>
    <t>TELE RIO PARC 10/12</t>
  </si>
  <si>
    <t>WWW-CASASBAHI PARC 11/12</t>
  </si>
  <si>
    <t>AMAZON BR PARC 10/10</t>
  </si>
  <si>
    <t>AMAZONMKTPLC* PARC 10/12</t>
  </si>
  <si>
    <t>ANUIDADE DIFERENCIADA ADC- PARC 10/12</t>
  </si>
  <si>
    <t>ANUIDADE DIFERENCIADA TIT- PARC 09/12</t>
  </si>
  <si>
    <t>DESC AUTOMATICO ANUD. TIT- PARC 09/12</t>
  </si>
  <si>
    <t>DESC AUTOMATICO ANUID ADC- PARC 10/12</t>
  </si>
  <si>
    <t>EC *EMPORIOLU PARC 10/10</t>
  </si>
  <si>
    <t>IG*myProfit PARC 09/12</t>
  </si>
  <si>
    <t>MAPFRE SEGURO PARC 15/18</t>
  </si>
  <si>
    <t>MERCADOLIVRE* PARC 10/10</t>
  </si>
  <si>
    <t>MP *SLEEPTIME PARC 10/10</t>
  </si>
  <si>
    <t>MP*2PRODUTOS PARC 12/12</t>
  </si>
  <si>
    <t>MP*BWINXECOMM PARC 10/10</t>
  </si>
  <si>
    <t>MP*ELECTROLUX PARC 09/10</t>
  </si>
  <si>
    <t>PANASONIC DO PARC 12/12</t>
  </si>
  <si>
    <t>PG *LIBANO ED PARC 08/12</t>
  </si>
  <si>
    <t>SONHO DO MEIE PARC 10/10</t>
  </si>
  <si>
    <t>TELE RIO PARC 11/12</t>
  </si>
  <si>
    <t>WWW-CASASBAHI PARC 12/12</t>
  </si>
  <si>
    <t>POSTO ZEN DE IGUABA LT IGUABA GRANDE</t>
  </si>
  <si>
    <t>ELECTROLUX el PARC 05/10 Curitiba</t>
  </si>
  <si>
    <t>AMAZONMKTPLC* PARC 03/12 SERRA</t>
  </si>
  <si>
    <t>ASA*DESCOMPLICA ASSESS Tres de Maio</t>
  </si>
  <si>
    <t>CAPPTA *MAGAZINE CLASS RIO DE JANEIR</t>
  </si>
  <si>
    <t>ELETRONICA MILIAMP LTD RIO DE JANEIR</t>
  </si>
  <si>
    <t>FE NA PASTA COMERCIO D RIO DE JANEIR</t>
  </si>
  <si>
    <t>NOVO HORIZONTE ESTACIO RIO DE JANEIR</t>
  </si>
  <si>
    <t>RDSAUDE ONLIN PARC 02/03 SAO PAULO</t>
  </si>
  <si>
    <t>PLANILHAANAMN PARC 11/12 CONTAGEM</t>
  </si>
  <si>
    <t>MAPFRE SEGURO PARC 08/18 SAO PAULO</t>
  </si>
  <si>
    <t>WWW-CASASBAHI PARC 05/12 CAMPO BOM</t>
  </si>
  <si>
    <t>MP*ELECTROLUX PARC 02/10 CURITIBA</t>
  </si>
  <si>
    <t>MERCADOLIVRE*GRUPOHAYD SAO JOSE DOS</t>
  </si>
  <si>
    <t>MP*BWINXECOMM PARC 03/10 BLUMENAU</t>
  </si>
  <si>
    <t>ANUIDADE DIFERENCIADA ADC-PARC 03/12</t>
  </si>
  <si>
    <t>ANUIDADE DIFERENCIADA TIT-PARC 02/12</t>
  </si>
  <si>
    <t>MP*MERCADOLIV PARC 02/06 SO PAULO</t>
  </si>
  <si>
    <t>MAPFRE SEGURO PARC 06/11 SAO PAULO</t>
  </si>
  <si>
    <t>tokstok-62079 PARC 04/09 SAO PAULO</t>
  </si>
  <si>
    <t>EC *EMPORIOLU PARC 03/10 IBITINGA</t>
  </si>
  <si>
    <t>MERCADOLIVRE* PARC 02/04 SAO PAULO</t>
  </si>
  <si>
    <t>CASA DO ALEMAO INDUSTR ITABORAI</t>
  </si>
  <si>
    <t>POSTO DE GASOLINA RIAS RIO DE JANEIR</t>
  </si>
  <si>
    <t>WANDO RICARDO DA SILVA RIO DE JANEIR</t>
  </si>
  <si>
    <t>POSTO DE GASOLINA ELEF SAO PEDRO DA</t>
  </si>
  <si>
    <t>SEMPRE TEM SAO PEDRO D SAO PEDRO DA</t>
  </si>
  <si>
    <t>COLOMBO AGROI PARC 03/04 ARIRANHA</t>
  </si>
  <si>
    <t>MERCADOLIVRE* PARC 03/10 SO PAULO</t>
  </si>
  <si>
    <t>GRUPO CASAS B PARC 01/05 CABO FRIO</t>
  </si>
  <si>
    <t>PG *LEROY MER PARC 03/08 SAO PAULO</t>
  </si>
  <si>
    <t>DL *Temucom J PARC 02/06 Sao Paulo</t>
  </si>
  <si>
    <t>NETFLIX ENTRETENIMENTO BARUERI</t>
  </si>
  <si>
    <t>TRF2 salário</t>
  </si>
  <si>
    <t>MP*2PRODUTOS PARC 05/06 SAO PAULO</t>
  </si>
  <si>
    <t>MP*2PRODUTOS PARC 05/12 SAO PAULO</t>
  </si>
  <si>
    <t>PANASONIC DO PARC 05/12 MANAUS</t>
  </si>
  <si>
    <t>AMAZON BR PARC 03/10 SAO PAULO</t>
  </si>
  <si>
    <t>CONAMORE PARC 03/04 CAMPINAS</t>
  </si>
  <si>
    <t>LEO ECOMMERC PARC 03/03 SAO PAULO</t>
  </si>
  <si>
    <t>IG*myProfit PARC 02/12 So Paulo</t>
  </si>
  <si>
    <t>KALUNGA PARK PARC 02/03 CABO FRIO</t>
  </si>
  <si>
    <t>AMAZON BR PARC 02/06 SAO PAULO</t>
  </si>
  <si>
    <t>Amazon Prime Canais SAO PAULO</t>
  </si>
  <si>
    <t>ASSOC TEST CRIST CESARIO LANGE</t>
  </si>
  <si>
    <t>ASSOC TORRE DE VI CESARIO LANGE</t>
  </si>
  <si>
    <t>MP*CENTRALPAES IGUABA GRANDE</t>
  </si>
  <si>
    <t>CAFE BAR E REST PORTO RIO DE JANEIR</t>
  </si>
  <si>
    <t>CAFE CAPITAL RIO DE JANEIR</t>
  </si>
  <si>
    <t>JAFI DECOR RIO DE JANEIR</t>
  </si>
  <si>
    <t>A. COHEN RESTAURANTE SAO GONCALO</t>
  </si>
  <si>
    <t>ALL SABOR RIO DE JANEIR</t>
  </si>
  <si>
    <t>POSTO AMIGAO-SHELL ITABORAI</t>
  </si>
  <si>
    <t>RODA CONVENIENCIA RIO DE JANEIR</t>
  </si>
  <si>
    <t>RODA HUB RIO DE JANEIR</t>
  </si>
  <si>
    <t>SINAF*032026 RIO DE JANEIR</t>
  </si>
  <si>
    <t>TOQUE CARIOCA RIO DE JANEIR</t>
  </si>
  <si>
    <t>CENTRAL PAES IGUABA GRANDE</t>
  </si>
  <si>
    <t>CALEBITO CABO FRIO CABO FRIO</t>
  </si>
  <si>
    <t>CHEF GRILL CABO FRIO</t>
  </si>
  <si>
    <t>DEPOSITO CIDADE NOVA IGUABA GRANDE</t>
  </si>
  <si>
    <t>DI SANTINNI PARC 01/05 CABO FRIO</t>
  </si>
  <si>
    <t>DROGARIAS PACHECO SA CABO FRIO</t>
  </si>
  <si>
    <t>FASHION BIJU CABO FRIO</t>
  </si>
  <si>
    <t>GUADELUPE VITALITE CABO FRIO</t>
  </si>
  <si>
    <t>MASTER FOOD CABO FRIO CABO FRIO</t>
  </si>
  <si>
    <t>Sobrancelhas CABO FRIO</t>
  </si>
  <si>
    <t>ATACADERJ RIO DE JANEIR</t>
  </si>
  <si>
    <t>RestauranteEBar IGUABA GRANDE</t>
  </si>
  <si>
    <t>Google YouTube Music SAO PAULO</t>
  </si>
  <si>
    <t>WorkParadise SAO PAULO</t>
  </si>
  <si>
    <t>FERRAGENS BUENOS AIRE RIO DE JANEIR</t>
  </si>
  <si>
    <t>O QUEIJAO Rio Bonito</t>
  </si>
  <si>
    <t>53544830Davilaine IGUABA GRANDE</t>
  </si>
  <si>
    <t>TatianeDaSilva IGUABA GRANDE</t>
  </si>
  <si>
    <t>OPENAI *CHATGPT SUBSCR OPENAI.COM</t>
  </si>
  <si>
    <t>CONTA VIVO SAO PAULO</t>
  </si>
  <si>
    <t>PALACIO DA FERRAMENTA RIO DE JANEIR</t>
  </si>
  <si>
    <t>CIA DO DOCE RIO DE JANEIR</t>
  </si>
  <si>
    <t>PREMIUN RIO DE JANEIR</t>
  </si>
  <si>
    <t>PORTO CARIOCA 19 RIO DE JANEIR</t>
  </si>
  <si>
    <t>ASA*ACADEMIA NUTRICAO Curitiba</t>
  </si>
  <si>
    <t>PG *TEMBICI SAO PAULO</t>
  </si>
  <si>
    <t>PriscilaOliveira IGUABA GRANDE</t>
  </si>
  <si>
    <t>TO COM FOME IGUABA GRANDE</t>
  </si>
  <si>
    <t>HortifrutiSaoJose IGUABA GRANDE</t>
  </si>
  <si>
    <t>RIO LISBOA II Iguaba Grande</t>
  </si>
  <si>
    <t>MP*GIRASSOL IGUABA GRANDE</t>
  </si>
  <si>
    <t>BRIZIO NOVA IGUACU</t>
  </si>
  <si>
    <t>MP*POINTDOCHIRRA RIO DE JANEIR</t>
  </si>
  <si>
    <t>FF1 GELATERIA LTDA ME ARARUAMA</t>
  </si>
  <si>
    <t>PointDoChurrasco SAO PEDRO DA</t>
  </si>
  <si>
    <t>IFD*iFood Osasco</t>
  </si>
  <si>
    <t>DESC AUTOMATICO ANUD. TIT-PARC 02/12</t>
  </si>
  <si>
    <t>DESC AUTOMATICO ANUID ADC-PARC 03/12</t>
  </si>
  <si>
    <t>PRINCIPE DO SABOR SAO GONCALO</t>
  </si>
  <si>
    <t>COZIMAIS CABO FRIO</t>
  </si>
  <si>
    <t>DROGARIAS PACHECO SA IGUABA GRANDE</t>
  </si>
  <si>
    <t>CONTA CVOLTA SAO PAULO</t>
  </si>
  <si>
    <t>JIM.COM 31117460 NENO DIguaba Grande</t>
  </si>
  <si>
    <t>Cafeteira</t>
  </si>
  <si>
    <t>Uber rodrigo</t>
  </si>
  <si>
    <t>Manutenção do carro</t>
  </si>
  <si>
    <t>Painel do carro (será extornado)</t>
  </si>
  <si>
    <t>MANUAL DO PARC 01/09 curso edits veronica</t>
  </si>
  <si>
    <t>PriscilaOliveiraD IGUABA GRANDE</t>
  </si>
  <si>
    <t>SEMPRE TEM SA PARC 01/02 SAO PEDRO DA</t>
  </si>
  <si>
    <t>ASSINATURA ZENPOST</t>
  </si>
  <si>
    <t>MERCADOLIVRE*MERCADOLIVOSASCO</t>
  </si>
  <si>
    <t>RODOSNACK VIA LAGOS LA RIO BONITO</t>
  </si>
  <si>
    <t>SINAF Plano funeral</t>
  </si>
  <si>
    <t>BELEZA 10 - maquiagem veronica</t>
  </si>
  <si>
    <t>CALCADOS LEVANI sandalia veronica</t>
  </si>
  <si>
    <t>CASA DA PICANHA IGUABA GRANDE</t>
  </si>
  <si>
    <t>LR VIDRACARIA PARC 01/03 RIO DE JANEI</t>
  </si>
  <si>
    <t>DIMATTONI ITABORAI</t>
  </si>
  <si>
    <t>RODA Lavanderia</t>
  </si>
  <si>
    <t>VMT*RODA RIO DE JANEIR</t>
  </si>
  <si>
    <t>MP*CENTRALPAES OSASCO</t>
  </si>
  <si>
    <t>PADARIA SARAIVA ARARUAMA</t>
  </si>
  <si>
    <t>PRICELABS Airbnb</t>
  </si>
  <si>
    <t>MP*GIRASSOL OSASCO</t>
  </si>
  <si>
    <t>RDSAUDE ONLIN PARC 01/03 remedio grustavo</t>
  </si>
  <si>
    <t>CHURRASCO TALENTOS GRI RIO DE JANEIR</t>
  </si>
  <si>
    <t>Painel carro (extorno)</t>
  </si>
  <si>
    <t>MP*FRANCISCOANTO OSASCO</t>
  </si>
  <si>
    <t>VMT*RODA HUB RIO DE JANEIR</t>
  </si>
  <si>
    <t>MP*PADARIASARAIV OSASCO</t>
  </si>
  <si>
    <t>AbeCafe CABO FRIO</t>
  </si>
  <si>
    <t>BORELLI CABO FRIO</t>
  </si>
  <si>
    <t>GOMES SUPERMERCADOS D SAO PEDRO DA</t>
  </si>
  <si>
    <t>RESTAURANTE TOQUE CAR RIO DE JANEIR</t>
  </si>
  <si>
    <t>BANDEIRANTES PARC 02/03</t>
  </si>
  <si>
    <t>CAPPTA *CASA PARC 02/02</t>
  </si>
  <si>
    <t>HTM*MANUAL DO PARC 02/09</t>
  </si>
  <si>
    <t>LR VIDRACARIA PARC 02/03</t>
  </si>
  <si>
    <t>RDSAUDE ONLIN PARC 02/03</t>
  </si>
  <si>
    <t>BANDEIRANTES PARC 03/03</t>
  </si>
  <si>
    <t>HTM*MANUAL DO PARC 03/09</t>
  </si>
  <si>
    <t>LR VIDRACARIA PARC 03/03</t>
  </si>
  <si>
    <t>HTM*MANUAL DO PARC 04/09</t>
  </si>
  <si>
    <t>HTM*MANUAL DO PARC 05/09</t>
  </si>
  <si>
    <t>HTM*MANUAL DO PARC 06/09</t>
  </si>
  <si>
    <t>HTM*MANUAL DO PARC 07/09</t>
  </si>
  <si>
    <t>HTM*MANUAL DO PARC 08/09</t>
  </si>
  <si>
    <t>HTM*MANUAL DO PARC 09/09</t>
  </si>
  <si>
    <t>Aluguel Iguaba</t>
  </si>
  <si>
    <t>Luz Iguaba</t>
  </si>
  <si>
    <t>Água Iguaba</t>
  </si>
  <si>
    <t>Faxina</t>
  </si>
  <si>
    <t>Petshop</t>
  </si>
  <si>
    <t>Arca Grão</t>
  </si>
  <si>
    <t>Caixinha Denancy</t>
  </si>
  <si>
    <t>Psicóloga Gustavo</t>
  </si>
  <si>
    <t>FERRAGENS Apartamento RIO</t>
  </si>
  <si>
    <t>FERRAGENS Apartamento RIO extorno</t>
  </si>
  <si>
    <t>Estacionamento Rio Trabalho/Vargas</t>
  </si>
  <si>
    <t>Estacionamento Rio Vargas Extorno</t>
  </si>
  <si>
    <t xml:space="preserve">PALACIO DA FERRAMENTA Vargas </t>
  </si>
  <si>
    <t>RODA HUB Extorno</t>
  </si>
  <si>
    <t>Roupa Verônica PARC 01/02 RIO DE JANEI</t>
  </si>
  <si>
    <t>Tampo da mesa Vargas RIO DE JANEIR</t>
  </si>
  <si>
    <t>Tampo da mesa Vargas Extorno</t>
  </si>
  <si>
    <t>LR VIDRACARIA Vargas 01/03 Extorno</t>
  </si>
  <si>
    <t>Fechadura Vargas RIO DE JANEIR</t>
  </si>
  <si>
    <t>Fechadura Vargas Extorno</t>
  </si>
  <si>
    <t>ESTACIONAMENTO Trabalho/Vargas</t>
  </si>
  <si>
    <t>ESTACIONAMENTO Vargas extorno</t>
  </si>
  <si>
    <t>RODA Lavanderia Extorno</t>
  </si>
  <si>
    <t>PRICELABS Airbnb extorno</t>
  </si>
  <si>
    <t>Sacolão Iguaba</t>
  </si>
  <si>
    <t>Veronica Nutri</t>
  </si>
  <si>
    <t>ASA*DESCOMPLICA ASSESS Extorno</t>
  </si>
  <si>
    <t>CEA Sutiã Verônica</t>
  </si>
  <si>
    <t>Bolo hóspede Vargas</t>
  </si>
  <si>
    <t>Bolo hóspede Vargas extorno</t>
  </si>
  <si>
    <t>VMT*RODA Extorno</t>
  </si>
  <si>
    <t>Roupas Marisa</t>
  </si>
  <si>
    <t>Ração PARC 01/03 SAO PEDRO DA</t>
  </si>
  <si>
    <t>Estacionamento Shopping</t>
  </si>
  <si>
    <t xml:space="preserve">Padaria </t>
  </si>
  <si>
    <t>Jonathan ?</t>
  </si>
  <si>
    <t>Lanche Kiosque</t>
  </si>
  <si>
    <t>Bitcoin</t>
  </si>
  <si>
    <t>Academia</t>
  </si>
  <si>
    <t>Pedágio Rio</t>
  </si>
  <si>
    <t>Pedágio Rio Extorno</t>
  </si>
  <si>
    <t>Sacolão Rio</t>
  </si>
  <si>
    <t>Mercado Rio</t>
  </si>
  <si>
    <t>Extorno Vargas</t>
  </si>
  <si>
    <t>Unha</t>
  </si>
  <si>
    <t>Cartão de visita Verônica</t>
  </si>
  <si>
    <t>Cartão de visita Verônica extorno</t>
  </si>
  <si>
    <t>Paçoca</t>
  </si>
  <si>
    <t>Pano de prato</t>
  </si>
  <si>
    <t>Pedágio Rio extorno</t>
  </si>
  <si>
    <t>Loteria</t>
  </si>
  <si>
    <t>Prestação apartamento</t>
  </si>
  <si>
    <t>Rendimento FII/Ação</t>
  </si>
  <si>
    <t>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</si>
</sst>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theme="1"/>
      <name val="Aptos Narrow"/>
      <family val="2"/>
      <scheme val="minor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sz val="8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4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8" fontId="6" fillId="0" borderId="0" xfId="0" applyNumberFormat="1" applyFont="1" applyProtection="1">
      <protection locked="0"/>
    </xf>
    <xf numFmtId="0" fontId="7" fillId="2" borderId="4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8" fontId="6" fillId="0" borderId="1" xfId="0" applyNumberFormat="1" applyFont="1" applyBorder="1" applyAlignment="1">
      <alignment horizontal="right" vertical="center"/>
    </xf>
    <xf numFmtId="8" fontId="6" fillId="0" borderId="2" xfId="0" applyNumberFormat="1" applyFont="1" applyBorder="1" applyAlignment="1">
      <alignment horizontal="right" vertical="center"/>
    </xf>
    <xf numFmtId="8" fontId="6" fillId="0" borderId="4" xfId="0" applyNumberFormat="1" applyFont="1" applyBorder="1" applyAlignment="1">
      <alignment horizontal="right" vertical="center"/>
    </xf>
    <xf numFmtId="8" fontId="6" fillId="0" borderId="5" xfId="0" applyNumberFormat="1" applyFont="1" applyBorder="1" applyAlignment="1">
      <alignment horizontal="right" vertical="center"/>
    </xf>
    <xf numFmtId="8" fontId="6" fillId="0" borderId="6" xfId="0" applyNumberFormat="1" applyFont="1" applyBorder="1" applyAlignment="1">
      <alignment horizontal="right" vertical="center"/>
    </xf>
    <xf numFmtId="8" fontId="7" fillId="0" borderId="10" xfId="0" applyNumberFormat="1" applyFont="1" applyBorder="1" applyAlignment="1">
      <alignment horizontal="right" vertical="center"/>
    </xf>
    <xf numFmtId="8" fontId="6" fillId="0" borderId="7" xfId="0" applyNumberFormat="1" applyFont="1" applyBorder="1" applyAlignment="1">
      <alignment horizontal="right" vertical="center"/>
    </xf>
    <xf numFmtId="8" fontId="6" fillId="0" borderId="8" xfId="0" applyNumberFormat="1" applyFont="1" applyBorder="1" applyAlignment="1">
      <alignment horizontal="right" vertical="center"/>
    </xf>
    <xf numFmtId="8" fontId="6" fillId="0" borderId="9" xfId="0" applyNumberFormat="1" applyFont="1" applyBorder="1" applyAlignment="1">
      <alignment horizontal="right" vertical="center"/>
    </xf>
    <xf numFmtId="0" fontId="7" fillId="0" borderId="10" xfId="0" applyFont="1" applyBorder="1"/>
    <xf numFmtId="8" fontId="7" fillId="2" borderId="12" xfId="0" applyNumberFormat="1" applyFont="1" applyFill="1" applyBorder="1"/>
    <xf numFmtId="8" fontId="7" fillId="2" borderId="13" xfId="0" applyNumberFormat="1" applyFont="1" applyFill="1" applyBorder="1"/>
    <xf numFmtId="0" fontId="1" fillId="0" borderId="0" xfId="0" applyFont="1" applyAlignment="1">
      <alignment horizontal="right"/>
    </xf>
    <xf numFmtId="8" fontId="1" fillId="0" borderId="0" xfId="0" applyNumberFormat="1" applyFont="1"/>
    <xf numFmtId="8" fontId="1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 vertical="center"/>
    </xf>
    <xf numFmtId="0" fontId="7" fillId="2" borderId="3" xfId="0" applyFont="1" applyFill="1" applyBorder="1"/>
    <xf numFmtId="0" fontId="6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14" fontId="6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0" fontId="6" fillId="3" borderId="3" xfId="0" applyNumberFormat="1" applyFont="1" applyFill="1" applyBorder="1" applyAlignment="1">
      <alignment horizontal="center" vertical="center" wrapText="1"/>
    </xf>
    <xf numFmtId="8" fontId="6" fillId="0" borderId="3" xfId="0" applyNumberFormat="1" applyFont="1" applyBorder="1" applyAlignment="1">
      <alignment horizontal="center" vertical="center" wrapText="1"/>
    </xf>
    <xf numFmtId="8" fontId="6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8" fontId="6" fillId="0" borderId="14" xfId="0" applyNumberFormat="1" applyFont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8" fontId="7" fillId="2" borderId="11" xfId="0" applyNumberFormat="1" applyFont="1" applyFill="1" applyBorder="1"/>
    <xf numFmtId="0" fontId="6" fillId="0" borderId="3" xfId="0" applyFont="1" applyBorder="1"/>
    <xf numFmtId="8" fontId="6" fillId="0" borderId="3" xfId="0" applyNumberFormat="1" applyFont="1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4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 applyProtection="1">
      <alignment horizontal="right"/>
      <protection locked="0"/>
    </xf>
    <xf numFmtId="8" fontId="9" fillId="0" borderId="0" xfId="0" applyNumberFormat="1" applyFont="1" applyAlignment="1">
      <alignment horizontal="right"/>
    </xf>
    <xf numFmtId="8" fontId="9" fillId="0" borderId="0" xfId="0" applyNumberFormat="1" applyFont="1"/>
    <xf numFmtId="0" fontId="0" fillId="0" borderId="0" xfId="0" applyAlignment="1">
      <alignment horizontal="right" vertical="center"/>
    </xf>
    <xf numFmtId="14" fontId="1" fillId="0" borderId="0" xfId="0" applyNumberFormat="1" applyFont="1" applyAlignment="1" applyProtection="1">
      <alignment horizontal="left"/>
      <protection locked="0"/>
    </xf>
    <xf numFmtId="10" fontId="1" fillId="0" borderId="0" xfId="0" applyNumberFormat="1" applyFont="1" applyAlignment="1" applyProtection="1">
      <alignment horizontal="left"/>
      <protection locked="0"/>
    </xf>
    <xf numFmtId="1" fontId="1" fillId="0" borderId="0" xfId="0" applyNumberFormat="1" applyFont="1" applyAlignment="1">
      <alignment horizontal="left"/>
    </xf>
    <xf numFmtId="10" fontId="0" fillId="0" borderId="0" xfId="0" applyNumberFormat="1" applyAlignment="1">
      <alignment horizontal="right"/>
    </xf>
    <xf numFmtId="0" fontId="7" fillId="4" borderId="3" xfId="0" applyFont="1" applyFill="1" applyBorder="1"/>
    <xf numFmtId="0" fontId="6" fillId="0" borderId="0" xfId="0" applyFont="1" applyAlignment="1">
      <alignment horizontal="center" wrapText="1"/>
    </xf>
    <xf numFmtId="8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10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8" fontId="6" fillId="0" borderId="0" xfId="0" applyNumberFormat="1" applyFont="1" applyBorder="1" applyAlignment="1">
      <alignment horizontal="right" vertical="center"/>
    </xf>
    <xf numFmtId="0" fontId="0" fillId="0" borderId="0" xfId="0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12" formatCode="&quot;R$&quot;\ #,##0.00;[Red]\-&quot;R$&quot;\ #,##0.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12" formatCode="&quot;R$&quot;\ #,##0.00;[Red]\-&quot;R$&quot;\ #,##0.0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none"/>
      </font>
    </dxf>
    <dxf>
      <numFmt numFmtId="12" formatCode="&quot;R$&quot;\ #,##0.00;[Red]\-&quot;R$&quot;\ #,##0.00"/>
      <protection locked="1" hidden="0"/>
    </dxf>
    <dxf>
      <numFmt numFmtId="12" formatCode="&quot;R$&quot;\ #,##0.00;[Red]\-&quot;R$&quot;\ #,##0.00"/>
      <protection locked="1" hidden="0"/>
    </dxf>
    <dxf>
      <numFmt numFmtId="12" formatCode="&quot;R$&quot;\ #,##0.00;[Red]\-&quot;R$&quot;\ #,##0.00"/>
      <protection locked="1" hidden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E8843-53B8-4483-9525-F49BCB36DD54}" name="Tabela3" displayName="Tabela3" ref="B6:F18" totalsRowCount="1" headerRowDxfId="27" dataDxfId="26" totalsRowDxfId="25">
  <autoFilter ref="B6:F17" xr:uid="{7EEE8843-53B8-4483-9525-F49BCB36DD5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811D22A-A41E-4668-9BF6-3B3A4911403B}" name="Categoria" dataDxfId="24" totalsRowDxfId="4"/>
    <tableColumn id="2" xr3:uid="{0592C0A0-2B03-47E4-B6A9-FD1F9947D852}" name="Planejado para o ciclo" totalsRowFunction="sum" dataDxfId="23" totalsRowDxfId="3"/>
    <tableColumn id="3" xr3:uid="{81FE64B6-C988-4528-A270-181433E2FB53}" name="Reservado na semana" totalsRowFunction="sum" dataDxfId="22" totalsRowDxfId="2"/>
    <tableColumn id="4" xr3:uid="{970B041B-0932-4BBD-B3A6-4B0A3925C7C6}" name="Realizado na semana" totalsRowFunction="sum" dataDxfId="21" totalsRowDxfId="1"/>
    <tableColumn id="5" xr3:uid="{80813BBE-C7BB-4135-A6CB-74383D676449}" name="Saldo para semana" totalsRowFunction="sum" dataDxfId="20" totalsRowDxfId="0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1C7253-31CB-4507-A211-CAF0E86A15A2}" name="tb_recebiveis" displayName="tb_recebiveis" ref="B4:G835" headerRowDxfId="19" dataDxfId="18" totalsRowDxfId="17">
  <autoFilter ref="B4:G835" xr:uid="{01AEE7B0-9100-4C07-85F0-726C870F0683}"/>
  <sortState xmlns:xlrd2="http://schemas.microsoft.com/office/spreadsheetml/2017/richdata2" ref="B5:G835">
    <sortCondition ref="B4:B835"/>
  </sortState>
  <tableColumns count="6">
    <tableColumn id="1" xr3:uid="{3D3895A0-004B-4FB6-93BF-7474843E9C4B}" name="Data" dataDxfId="15" totalsRowDxfId="16"/>
    <tableColumn id="3" xr3:uid="{259D7FA9-8C3D-405B-938D-4B51C0C077FF}" name="item" dataDxfId="13" totalsRowDxfId="14"/>
    <tableColumn id="6" xr3:uid="{6B2E5740-4790-438F-BE3A-34EB421575A9}" name="Conta" dataDxfId="11" totalsRowDxfId="12"/>
    <tableColumn id="5" xr3:uid="{62799ACE-2891-4326-80F4-D7B398E54124}" name="Categoria" dataDxfId="9" totalsRowDxfId="10"/>
    <tableColumn id="2" xr3:uid="{3D4A3D64-0E81-4D0F-9A27-AB69C9F236B5}" name="Recebido" dataDxfId="7" totalsRowDxfId="8"/>
    <tableColumn id="4" xr3:uid="{6F1F37EC-BF8F-4318-9D98-307A07554E8F}" name="valor" totalsRowFunction="sum" dataDxfId="5" totalsRow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C351-2906-4F56-8DC2-A4C2A889DB9F}">
  <dimension ref="A1:B13"/>
  <sheetViews>
    <sheetView showGridLines="0" workbookViewId="0">
      <pane ySplit="1" topLeftCell="A2" activePane="bottomLeft" state="frozen"/>
      <selection pane="bottomLeft" activeCell="B10" sqref="B10"/>
    </sheetView>
  </sheetViews>
  <sheetFormatPr defaultColWidth="38.140625" defaultRowHeight="13.5" x14ac:dyDescent="0.25"/>
  <cols>
    <col min="1" max="1" width="37.28515625" style="3" bestFit="1" customWidth="1"/>
    <col min="2" max="2" width="7.85546875" style="3" bestFit="1" customWidth="1"/>
    <col min="3" max="16384" width="38.140625" style="3"/>
  </cols>
  <sheetData>
    <row r="1" spans="1:2" x14ac:dyDescent="0.25">
      <c r="A1" s="27" t="s">
        <v>246</v>
      </c>
      <c r="B1" s="27" t="s">
        <v>247</v>
      </c>
    </row>
    <row r="2" spans="1:2" x14ac:dyDescent="0.25">
      <c r="A2" s="3" t="str" cm="1">
        <f t="array" ref="A2:A13">_xlfn.TEXTSPLIT(cel_lista_categorias,,",")</f>
        <v>Necessidades fixas[Outras]</v>
      </c>
      <c r="B2" s="3" t="str" cm="1">
        <f t="array" ref="B2:B7">_xlfn.TEXTSPLIT(cel_lista_contas,,",")</f>
        <v>Emprestimo BB</v>
      </c>
    </row>
    <row r="3" spans="1:2" x14ac:dyDescent="0.25">
      <c r="A3" s="3" t="str">
        <v>Necessidades fixas[Mercado]</v>
      </c>
      <c r="B3" s="3" t="str">
        <v>Cartão BB</v>
      </c>
    </row>
    <row r="4" spans="1:2" x14ac:dyDescent="0.25">
      <c r="A4" s="3" t="str">
        <v>Necessidades fixas[Farmácia]</v>
      </c>
      <c r="B4" s="3" t="str">
        <v>Conta BB[108376-7]</v>
      </c>
    </row>
    <row r="5" spans="1:2" x14ac:dyDescent="0.25">
      <c r="A5" s="3" t="str">
        <v>Necessidades fixas[Faxina]</v>
      </c>
      <c r="B5" s="3" t="str">
        <v>Vargas1140-309</v>
      </c>
    </row>
    <row r="6" spans="1:2" x14ac:dyDescent="0.25">
      <c r="A6" s="3" t="str">
        <v>Necessidades fixas[Transporte]</v>
      </c>
      <c r="B6" s="3" t="str">
        <v>Terrenos SPA</v>
      </c>
    </row>
    <row r="7" spans="1:2" x14ac:dyDescent="0.25">
      <c r="A7" s="3" t="str">
        <v>Necessidades fixas[Corrida]</v>
      </c>
      <c r="B7" s="3" t="str">
        <v>Casa Joliva</v>
      </c>
    </row>
    <row r="8" spans="1:2" x14ac:dyDescent="0.25">
      <c r="A8" s="3" t="str">
        <v>Necessidades fixas[Estetica]</v>
      </c>
      <c r="B8" s="3" t="s">
        <v>709</v>
      </c>
    </row>
    <row r="9" spans="1:2" x14ac:dyDescent="0.25">
      <c r="A9" s="3" t="str">
        <v>Necessidades fixas[Combustível]</v>
      </c>
      <c r="B9" s="3" t="s">
        <v>737</v>
      </c>
    </row>
    <row r="10" spans="1:2" x14ac:dyDescent="0.25">
      <c r="A10" s="3" t="str">
        <v>Lazer[Outras]</v>
      </c>
    </row>
    <row r="11" spans="1:2" x14ac:dyDescent="0.25">
      <c r="A11" s="3" t="str">
        <v>Necessidades ocasionais[Outras]</v>
      </c>
    </row>
    <row r="12" spans="1:2" x14ac:dyDescent="0.25">
      <c r="A12" s="3" t="str">
        <v>Investimentos[Outros]</v>
      </c>
    </row>
    <row r="13" spans="1:2" x14ac:dyDescent="0.25">
      <c r="A13" s="3" t="str">
        <v>Proventos[Outros]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4227-A7B1-4B0F-AA08-403E071FF62E}">
  <dimension ref="A5:F101"/>
  <sheetViews>
    <sheetView topLeftCell="A4" workbookViewId="0">
      <selection activeCell="B16" sqref="B16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22.5703125" bestFit="1" customWidth="1"/>
    <col min="4" max="4" width="22.140625" bestFit="1" customWidth="1"/>
    <col min="5" max="5" width="25.85546875" bestFit="1" customWidth="1"/>
    <col min="6" max="6" width="10.42578125" bestFit="1" customWidth="1"/>
  </cols>
  <sheetData>
    <row r="5" spans="1:6" x14ac:dyDescent="0.25">
      <c r="C5" s="1"/>
      <c r="F5" s="1"/>
    </row>
    <row r="6" spans="1:6" x14ac:dyDescent="0.25">
      <c r="A6">
        <v>1</v>
      </c>
      <c r="C6" s="1"/>
      <c r="F6" s="1"/>
    </row>
    <row r="7" spans="1:6" x14ac:dyDescent="0.25">
      <c r="A7">
        <v>2</v>
      </c>
      <c r="B7" s="1">
        <v>45723</v>
      </c>
      <c r="C7" s="1" t="str">
        <f>"IPTU Joliva " &amp; A7 &amp; " de 10 (Rafael)"</f>
        <v>IPTU Joliva 2 de 10 (Rafael)</v>
      </c>
      <c r="D7" s="3" t="s">
        <v>248</v>
      </c>
      <c r="F7">
        <v>170.17</v>
      </c>
    </row>
    <row r="8" spans="1:6" x14ac:dyDescent="0.25">
      <c r="A8">
        <v>3</v>
      </c>
      <c r="B8" s="1">
        <v>45754</v>
      </c>
      <c r="C8" s="1" t="str">
        <f t="shared" ref="C8:C15" si="0">"IPTU Joliva " &amp; A8 &amp; " de 10 (Rafael)"</f>
        <v>IPTU Joliva 3 de 10 (Rafael)</v>
      </c>
      <c r="D8" s="3" t="s">
        <v>248</v>
      </c>
      <c r="F8">
        <v>170.17</v>
      </c>
    </row>
    <row r="9" spans="1:6" x14ac:dyDescent="0.25">
      <c r="A9">
        <v>4</v>
      </c>
      <c r="B9" s="1">
        <v>45784</v>
      </c>
      <c r="C9" s="1" t="str">
        <f t="shared" si="0"/>
        <v>IPTU Joliva 4 de 10 (Rafael)</v>
      </c>
      <c r="D9" s="3" t="s">
        <v>248</v>
      </c>
      <c r="F9">
        <v>170.17</v>
      </c>
    </row>
    <row r="10" spans="1:6" x14ac:dyDescent="0.25">
      <c r="A10">
        <v>5</v>
      </c>
      <c r="B10" s="1">
        <v>45815</v>
      </c>
      <c r="C10" s="1" t="str">
        <f t="shared" si="0"/>
        <v>IPTU Joliva 5 de 10 (Rafael)</v>
      </c>
      <c r="D10" s="3" t="s">
        <v>248</v>
      </c>
      <c r="F10">
        <v>170.17</v>
      </c>
    </row>
    <row r="11" spans="1:6" x14ac:dyDescent="0.25">
      <c r="A11">
        <v>6</v>
      </c>
      <c r="B11" s="1">
        <v>45845</v>
      </c>
      <c r="C11" s="1" t="str">
        <f t="shared" si="0"/>
        <v>IPTU Joliva 6 de 10 (Rafael)</v>
      </c>
      <c r="D11" s="3" t="s">
        <v>248</v>
      </c>
      <c r="F11">
        <v>170.17</v>
      </c>
    </row>
    <row r="12" spans="1:6" x14ac:dyDescent="0.25">
      <c r="A12">
        <v>7</v>
      </c>
      <c r="B12" s="1">
        <v>45876</v>
      </c>
      <c r="C12" s="1" t="str">
        <f t="shared" si="0"/>
        <v>IPTU Joliva 7 de 10 (Rafael)</v>
      </c>
      <c r="D12" s="3" t="s">
        <v>248</v>
      </c>
      <c r="F12">
        <v>170.17</v>
      </c>
    </row>
    <row r="13" spans="1:6" x14ac:dyDescent="0.25">
      <c r="A13">
        <v>8</v>
      </c>
      <c r="B13" s="1">
        <v>45907</v>
      </c>
      <c r="C13" s="1" t="str">
        <f t="shared" si="0"/>
        <v>IPTU Joliva 8 de 10 (Rafael)</v>
      </c>
      <c r="D13" s="3" t="s">
        <v>248</v>
      </c>
      <c r="F13">
        <v>170.17</v>
      </c>
    </row>
    <row r="14" spans="1:6" x14ac:dyDescent="0.25">
      <c r="A14">
        <v>9</v>
      </c>
      <c r="B14" s="1">
        <v>45937</v>
      </c>
      <c r="C14" s="1" t="str">
        <f t="shared" si="0"/>
        <v>IPTU Joliva 9 de 10 (Rafael)</v>
      </c>
      <c r="D14" s="3" t="s">
        <v>248</v>
      </c>
      <c r="F14">
        <v>170.17</v>
      </c>
    </row>
    <row r="15" spans="1:6" x14ac:dyDescent="0.25">
      <c r="A15">
        <v>10</v>
      </c>
      <c r="B15" s="1">
        <v>45968</v>
      </c>
      <c r="C15" s="1" t="str">
        <f t="shared" si="0"/>
        <v>IPTU Joliva 10 de 10 (Rafael)</v>
      </c>
      <c r="D15" s="3" t="s">
        <v>248</v>
      </c>
      <c r="F15">
        <v>170.17</v>
      </c>
    </row>
    <row r="16" spans="1:6" x14ac:dyDescent="0.25">
      <c r="A16">
        <v>11</v>
      </c>
      <c r="C16" s="1"/>
      <c r="F16" s="1"/>
    </row>
    <row r="17" spans="1:6" x14ac:dyDescent="0.25">
      <c r="A17">
        <v>12</v>
      </c>
      <c r="C17" s="1"/>
      <c r="F17" s="1"/>
    </row>
    <row r="18" spans="1:6" x14ac:dyDescent="0.25">
      <c r="A18">
        <v>13</v>
      </c>
      <c r="C18" s="1"/>
      <c r="F18" s="1"/>
    </row>
    <row r="19" spans="1:6" x14ac:dyDescent="0.25">
      <c r="A19">
        <v>14</v>
      </c>
      <c r="C19" s="1"/>
      <c r="F19" s="1"/>
    </row>
    <row r="20" spans="1:6" x14ac:dyDescent="0.25">
      <c r="A20">
        <v>15</v>
      </c>
      <c r="C20" s="1"/>
      <c r="F20" s="1"/>
    </row>
    <row r="21" spans="1:6" x14ac:dyDescent="0.25">
      <c r="A21">
        <v>16</v>
      </c>
      <c r="C21" s="1"/>
      <c r="F21" s="1"/>
    </row>
    <row r="22" spans="1:6" x14ac:dyDescent="0.25">
      <c r="A22">
        <v>17</v>
      </c>
      <c r="C22" s="1"/>
      <c r="F22" s="1"/>
    </row>
    <row r="23" spans="1:6" x14ac:dyDescent="0.25">
      <c r="A23">
        <v>18</v>
      </c>
      <c r="C23" s="1"/>
      <c r="F23" s="1"/>
    </row>
    <row r="24" spans="1:6" x14ac:dyDescent="0.25">
      <c r="A24">
        <v>19</v>
      </c>
      <c r="C24" s="1"/>
      <c r="F24" s="1"/>
    </row>
    <row r="25" spans="1:6" x14ac:dyDescent="0.25">
      <c r="A25">
        <v>20</v>
      </c>
      <c r="C25" s="1"/>
      <c r="F25" s="1"/>
    </row>
    <row r="26" spans="1:6" x14ac:dyDescent="0.25">
      <c r="A26">
        <v>21</v>
      </c>
      <c r="C26" s="1"/>
      <c r="F26" s="1"/>
    </row>
    <row r="27" spans="1:6" x14ac:dyDescent="0.25">
      <c r="A27">
        <v>22</v>
      </c>
      <c r="C27" s="1"/>
      <c r="F27" s="1"/>
    </row>
    <row r="28" spans="1:6" x14ac:dyDescent="0.25">
      <c r="A28">
        <v>23</v>
      </c>
      <c r="C28" s="1"/>
      <c r="F28" s="1"/>
    </row>
    <row r="29" spans="1:6" x14ac:dyDescent="0.25">
      <c r="A29">
        <v>24</v>
      </c>
      <c r="C29" s="1"/>
      <c r="F29" s="1"/>
    </row>
    <row r="30" spans="1:6" x14ac:dyDescent="0.25">
      <c r="A30">
        <v>25</v>
      </c>
      <c r="C30" s="1"/>
      <c r="F30" s="1"/>
    </row>
    <row r="31" spans="1:6" x14ac:dyDescent="0.25">
      <c r="A31">
        <v>26</v>
      </c>
      <c r="C31" s="1"/>
      <c r="F31" s="1"/>
    </row>
    <row r="32" spans="1:6" x14ac:dyDescent="0.25">
      <c r="A32">
        <v>27</v>
      </c>
      <c r="C32" s="1"/>
      <c r="F32" s="1"/>
    </row>
    <row r="33" spans="1:6" x14ac:dyDescent="0.25">
      <c r="A33">
        <v>28</v>
      </c>
      <c r="C33" s="1"/>
      <c r="F33" s="1"/>
    </row>
    <row r="34" spans="1:6" x14ac:dyDescent="0.25">
      <c r="A34">
        <v>29</v>
      </c>
      <c r="C34" s="1"/>
      <c r="F34" s="1"/>
    </row>
    <row r="35" spans="1:6" x14ac:dyDescent="0.25">
      <c r="A35">
        <v>30</v>
      </c>
      <c r="C35" s="1"/>
      <c r="F35" s="1"/>
    </row>
    <row r="36" spans="1:6" x14ac:dyDescent="0.25">
      <c r="A36">
        <v>31</v>
      </c>
      <c r="C36" s="1"/>
      <c r="F36" s="1"/>
    </row>
    <row r="37" spans="1:6" x14ac:dyDescent="0.25">
      <c r="A37">
        <v>32</v>
      </c>
      <c r="C37" s="1"/>
      <c r="F37" s="1"/>
    </row>
    <row r="38" spans="1:6" x14ac:dyDescent="0.25">
      <c r="A38">
        <v>33</v>
      </c>
      <c r="C38" s="1"/>
      <c r="F38" s="1"/>
    </row>
    <row r="39" spans="1:6" x14ac:dyDescent="0.25">
      <c r="A39">
        <v>34</v>
      </c>
      <c r="C39" s="1"/>
      <c r="F39" s="1"/>
    </row>
    <row r="40" spans="1:6" x14ac:dyDescent="0.25">
      <c r="A40">
        <v>35</v>
      </c>
      <c r="C40" s="1"/>
      <c r="F40" s="1"/>
    </row>
    <row r="41" spans="1:6" x14ac:dyDescent="0.25">
      <c r="A41">
        <v>36</v>
      </c>
      <c r="C41" s="1"/>
      <c r="F41" s="1"/>
    </row>
    <row r="42" spans="1:6" x14ac:dyDescent="0.25">
      <c r="A42">
        <v>37</v>
      </c>
      <c r="C42" s="1"/>
      <c r="F42" s="1"/>
    </row>
    <row r="43" spans="1:6" x14ac:dyDescent="0.25">
      <c r="A43">
        <v>38</v>
      </c>
      <c r="C43" s="1"/>
      <c r="F43" s="1"/>
    </row>
    <row r="44" spans="1:6" x14ac:dyDescent="0.25">
      <c r="A44">
        <v>39</v>
      </c>
      <c r="C44" s="1"/>
      <c r="F44" s="1"/>
    </row>
    <row r="45" spans="1:6" x14ac:dyDescent="0.25">
      <c r="A45">
        <v>40</v>
      </c>
      <c r="C45" s="1"/>
      <c r="F45" s="1"/>
    </row>
    <row r="46" spans="1:6" x14ac:dyDescent="0.25">
      <c r="A46">
        <v>41</v>
      </c>
      <c r="C46" s="1"/>
      <c r="F46" s="1"/>
    </row>
    <row r="47" spans="1:6" x14ac:dyDescent="0.25">
      <c r="A47">
        <v>42</v>
      </c>
      <c r="C47" s="1"/>
      <c r="F47" s="1"/>
    </row>
    <row r="48" spans="1:6" x14ac:dyDescent="0.25">
      <c r="A48">
        <v>43</v>
      </c>
      <c r="C48" s="1"/>
      <c r="F48" s="1"/>
    </row>
    <row r="49" spans="1:6" x14ac:dyDescent="0.25">
      <c r="A49">
        <v>44</v>
      </c>
      <c r="C49" s="1"/>
      <c r="F49" s="1"/>
    </row>
    <row r="50" spans="1:6" x14ac:dyDescent="0.25">
      <c r="A50">
        <v>45</v>
      </c>
      <c r="C50" s="1"/>
      <c r="F50" s="1"/>
    </row>
    <row r="51" spans="1:6" x14ac:dyDescent="0.25">
      <c r="A51">
        <v>46</v>
      </c>
      <c r="C51" s="1"/>
      <c r="F51" s="1"/>
    </row>
    <row r="52" spans="1:6" x14ac:dyDescent="0.25">
      <c r="A52">
        <v>47</v>
      </c>
      <c r="C52" s="1"/>
      <c r="F52" s="1"/>
    </row>
    <row r="53" spans="1:6" x14ac:dyDescent="0.25">
      <c r="A53">
        <v>48</v>
      </c>
      <c r="C53" s="1"/>
      <c r="F53" s="1"/>
    </row>
    <row r="54" spans="1:6" x14ac:dyDescent="0.25">
      <c r="A54">
        <v>49</v>
      </c>
      <c r="C54" s="1"/>
      <c r="F54" s="1"/>
    </row>
    <row r="55" spans="1:6" x14ac:dyDescent="0.25">
      <c r="A55">
        <v>50</v>
      </c>
      <c r="C55" s="1"/>
      <c r="F55" s="1"/>
    </row>
    <row r="56" spans="1:6" x14ac:dyDescent="0.25">
      <c r="A56">
        <v>51</v>
      </c>
      <c r="C56" s="1"/>
      <c r="F56" s="1"/>
    </row>
    <row r="57" spans="1:6" x14ac:dyDescent="0.25">
      <c r="A57">
        <v>52</v>
      </c>
      <c r="C57" s="1"/>
      <c r="F57" s="1"/>
    </row>
    <row r="58" spans="1:6" x14ac:dyDescent="0.25">
      <c r="A58">
        <v>53</v>
      </c>
      <c r="C58" s="1"/>
      <c r="F58" s="1"/>
    </row>
    <row r="59" spans="1:6" x14ac:dyDescent="0.25">
      <c r="A59">
        <v>54</v>
      </c>
      <c r="C59" s="1"/>
      <c r="F59" s="1"/>
    </row>
    <row r="60" spans="1:6" x14ac:dyDescent="0.25">
      <c r="A60">
        <v>55</v>
      </c>
      <c r="C60" s="1"/>
      <c r="F60" s="1"/>
    </row>
    <row r="61" spans="1:6" x14ac:dyDescent="0.25">
      <c r="A61">
        <v>56</v>
      </c>
      <c r="C61" s="1"/>
      <c r="F61" s="1"/>
    </row>
    <row r="62" spans="1:6" x14ac:dyDescent="0.25">
      <c r="A62">
        <v>57</v>
      </c>
      <c r="C62" s="1"/>
      <c r="F62" s="1"/>
    </row>
    <row r="63" spans="1:6" x14ac:dyDescent="0.25">
      <c r="A63">
        <v>58</v>
      </c>
      <c r="C63" s="1"/>
      <c r="F63" s="1"/>
    </row>
    <row r="64" spans="1:6" x14ac:dyDescent="0.25">
      <c r="A64">
        <v>59</v>
      </c>
      <c r="C64" s="1"/>
      <c r="F64" s="1"/>
    </row>
    <row r="65" spans="1:6" x14ac:dyDescent="0.25">
      <c r="A65">
        <v>60</v>
      </c>
      <c r="C65" s="1"/>
      <c r="F65" s="1"/>
    </row>
    <row r="66" spans="1:6" x14ac:dyDescent="0.25">
      <c r="A66">
        <v>61</v>
      </c>
      <c r="C66" s="1"/>
      <c r="F66" s="1"/>
    </row>
    <row r="67" spans="1:6" x14ac:dyDescent="0.25">
      <c r="A67">
        <v>62</v>
      </c>
      <c r="C67" s="1"/>
      <c r="F67" s="1"/>
    </row>
    <row r="68" spans="1:6" x14ac:dyDescent="0.25">
      <c r="A68">
        <v>63</v>
      </c>
      <c r="C68" s="1"/>
      <c r="F68" s="1"/>
    </row>
    <row r="69" spans="1:6" x14ac:dyDescent="0.25">
      <c r="A69">
        <v>64</v>
      </c>
      <c r="C69" s="1"/>
      <c r="F69" s="1"/>
    </row>
    <row r="70" spans="1:6" x14ac:dyDescent="0.25">
      <c r="A70">
        <v>65</v>
      </c>
      <c r="C70" s="1"/>
      <c r="F70" s="1"/>
    </row>
    <row r="71" spans="1:6" x14ac:dyDescent="0.25">
      <c r="A71">
        <v>66</v>
      </c>
      <c r="C71" s="1"/>
      <c r="F71" s="1"/>
    </row>
    <row r="72" spans="1:6" x14ac:dyDescent="0.25">
      <c r="A72">
        <v>67</v>
      </c>
      <c r="C72" s="1"/>
      <c r="F72" s="1"/>
    </row>
    <row r="73" spans="1:6" x14ac:dyDescent="0.25">
      <c r="A73">
        <v>68</v>
      </c>
      <c r="C73" s="1"/>
      <c r="F73" s="1"/>
    </row>
    <row r="74" spans="1:6" x14ac:dyDescent="0.25">
      <c r="A74">
        <v>69</v>
      </c>
      <c r="C74" s="1"/>
      <c r="F74" s="1"/>
    </row>
    <row r="75" spans="1:6" x14ac:dyDescent="0.25">
      <c r="A75">
        <v>70</v>
      </c>
      <c r="C75" s="1"/>
      <c r="F75" s="1"/>
    </row>
    <row r="76" spans="1:6" x14ac:dyDescent="0.25">
      <c r="A76">
        <v>71</v>
      </c>
      <c r="C76" s="1"/>
      <c r="F76" s="1"/>
    </row>
    <row r="77" spans="1:6" x14ac:dyDescent="0.25">
      <c r="A77">
        <v>72</v>
      </c>
      <c r="C77" s="1"/>
      <c r="F77" s="1"/>
    </row>
    <row r="78" spans="1:6" x14ac:dyDescent="0.25">
      <c r="A78">
        <v>73</v>
      </c>
      <c r="C78" s="1"/>
      <c r="F78" s="1"/>
    </row>
    <row r="79" spans="1:6" x14ac:dyDescent="0.25">
      <c r="A79">
        <v>74</v>
      </c>
      <c r="C79" s="1"/>
      <c r="F79" s="1"/>
    </row>
    <row r="80" spans="1:6" x14ac:dyDescent="0.25">
      <c r="A80">
        <v>75</v>
      </c>
      <c r="C80" s="1"/>
      <c r="F80" s="1"/>
    </row>
    <row r="81" spans="1:6" x14ac:dyDescent="0.25">
      <c r="A81">
        <v>76</v>
      </c>
      <c r="C81" s="1"/>
      <c r="F81" s="1"/>
    </row>
    <row r="82" spans="1:6" x14ac:dyDescent="0.25">
      <c r="A82">
        <v>77</v>
      </c>
      <c r="C82" s="1"/>
      <c r="F82" s="1"/>
    </row>
    <row r="83" spans="1:6" x14ac:dyDescent="0.25">
      <c r="A83">
        <v>78</v>
      </c>
      <c r="C83" s="1"/>
      <c r="F83" s="1"/>
    </row>
    <row r="84" spans="1:6" x14ac:dyDescent="0.25">
      <c r="A84">
        <v>79</v>
      </c>
      <c r="C84" s="1"/>
      <c r="F84" s="1"/>
    </row>
    <row r="85" spans="1:6" x14ac:dyDescent="0.25">
      <c r="A85">
        <v>80</v>
      </c>
      <c r="C85" s="1"/>
      <c r="F85" s="1"/>
    </row>
    <row r="86" spans="1:6" x14ac:dyDescent="0.25">
      <c r="A86">
        <v>81</v>
      </c>
      <c r="C86" s="1"/>
      <c r="F86" s="1"/>
    </row>
    <row r="87" spans="1:6" x14ac:dyDescent="0.25">
      <c r="A87">
        <v>82</v>
      </c>
      <c r="C87" s="1"/>
      <c r="F87" s="1"/>
    </row>
    <row r="88" spans="1:6" x14ac:dyDescent="0.25">
      <c r="A88">
        <v>83</v>
      </c>
      <c r="C88" s="1"/>
      <c r="F88" s="1"/>
    </row>
    <row r="89" spans="1:6" x14ac:dyDescent="0.25">
      <c r="A89">
        <v>84</v>
      </c>
      <c r="C89" s="1"/>
      <c r="F89" s="1"/>
    </row>
    <row r="90" spans="1:6" x14ac:dyDescent="0.25">
      <c r="A90">
        <v>85</v>
      </c>
      <c r="C90" s="1"/>
      <c r="F90" s="1"/>
    </row>
    <row r="91" spans="1:6" x14ac:dyDescent="0.25">
      <c r="A91">
        <v>86</v>
      </c>
      <c r="C91" s="1"/>
      <c r="F91" s="1"/>
    </row>
    <row r="92" spans="1:6" x14ac:dyDescent="0.25">
      <c r="A92">
        <v>87</v>
      </c>
      <c r="C92" s="1"/>
      <c r="F92" s="1"/>
    </row>
    <row r="93" spans="1:6" x14ac:dyDescent="0.25">
      <c r="A93">
        <v>88</v>
      </c>
      <c r="C93" s="1"/>
      <c r="F93" s="1"/>
    </row>
    <row r="94" spans="1:6" x14ac:dyDescent="0.25">
      <c r="A94">
        <v>89</v>
      </c>
      <c r="C94" s="1"/>
      <c r="F94" s="1"/>
    </row>
    <row r="95" spans="1:6" x14ac:dyDescent="0.25">
      <c r="A95">
        <v>90</v>
      </c>
      <c r="C95" s="1"/>
      <c r="F95" s="1"/>
    </row>
    <row r="96" spans="1:6" x14ac:dyDescent="0.25">
      <c r="A96">
        <v>91</v>
      </c>
      <c r="C96" s="1"/>
      <c r="F96" s="1"/>
    </row>
    <row r="97" spans="1:6" x14ac:dyDescent="0.25">
      <c r="A97">
        <v>92</v>
      </c>
      <c r="C97" s="1"/>
      <c r="F97" s="1"/>
    </row>
    <row r="98" spans="1:6" x14ac:dyDescent="0.25">
      <c r="A98">
        <v>93</v>
      </c>
      <c r="C98" s="1"/>
      <c r="F98" s="1"/>
    </row>
    <row r="99" spans="1:6" x14ac:dyDescent="0.25">
      <c r="A99">
        <v>94</v>
      </c>
      <c r="C99" s="1"/>
      <c r="F99" s="1"/>
    </row>
    <row r="100" spans="1:6" x14ac:dyDescent="0.25">
      <c r="A100">
        <v>95</v>
      </c>
      <c r="C100" s="1"/>
      <c r="F100" s="1"/>
    </row>
    <row r="101" spans="1:6" x14ac:dyDescent="0.25">
      <c r="A101">
        <v>96</v>
      </c>
      <c r="C101" s="1"/>
      <c r="F101" s="1"/>
    </row>
  </sheetData>
  <dataValidations count="1">
    <dataValidation type="list" allowBlank="1" showInputMessage="1" showErrorMessage="1" sqref="D7:D15" xr:uid="{7AF7BEAC-305C-42DB-9DE8-8B4D05ECC16C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0D13-CB5E-45A2-9A58-2A173BC71B9D}">
  <dimension ref="B1:F19"/>
  <sheetViews>
    <sheetView showGridLines="0" workbookViewId="0">
      <selection activeCell="D2" sqref="D2"/>
    </sheetView>
  </sheetViews>
  <sheetFormatPr defaultRowHeight="15" x14ac:dyDescent="0.25"/>
  <cols>
    <col min="1" max="1" width="1.85546875" customWidth="1"/>
    <col min="2" max="2" width="32.7109375" bestFit="1" customWidth="1"/>
    <col min="3" max="3" width="24.28515625" customWidth="1"/>
    <col min="4" max="4" width="22.5703125" customWidth="1"/>
    <col min="5" max="5" width="24.28515625" customWidth="1"/>
    <col min="6" max="6" width="20.28515625" customWidth="1"/>
    <col min="7" max="7" width="2.7109375" customWidth="1"/>
  </cols>
  <sheetData>
    <row r="1" spans="2:6" ht="17.25" customHeight="1" x14ac:dyDescent="0.25">
      <c r="B1" s="73" t="str">
        <f>CONCATENATE("Orçamento do mes ",MONTH(cel_data_inicio)," de ",cel_ano_inicio)</f>
        <v>Orçamento do mes 4 de 2026</v>
      </c>
      <c r="C1" s="73"/>
      <c r="D1" s="73"/>
      <c r="E1" s="73"/>
      <c r="F1" s="73"/>
    </row>
    <row r="2" spans="2:6" x14ac:dyDescent="0.25">
      <c r="C2" s="63" t="s">
        <v>249</v>
      </c>
      <c r="D2" s="64">
        <v>46132</v>
      </c>
      <c r="E2" s="63" t="s">
        <v>250</v>
      </c>
      <c r="F2" s="66">
        <v>30</v>
      </c>
    </row>
    <row r="3" spans="2:6" x14ac:dyDescent="0.25">
      <c r="C3" s="63" t="s">
        <v>261</v>
      </c>
      <c r="D3" s="65">
        <v>0.1</v>
      </c>
      <c r="E3" s="63" t="s">
        <v>258</v>
      </c>
      <c r="F3" s="65">
        <v>0.05</v>
      </c>
    </row>
    <row r="4" spans="2:6" x14ac:dyDescent="0.25">
      <c r="C4" s="63" t="s">
        <v>260</v>
      </c>
      <c r="D4" s="65">
        <v>0.75</v>
      </c>
      <c r="E4" s="63" t="s">
        <v>259</v>
      </c>
      <c r="F4" s="65">
        <v>0.1</v>
      </c>
    </row>
    <row r="5" spans="2:6" ht="27.75" customHeight="1" x14ac:dyDescent="0.25">
      <c r="C5" s="63"/>
      <c r="D5" s="72" t="str" cm="1">
        <f t="array" aca="1" ref="D5" ca="1">_xlfn.CONCAT("Panorama até ",TEXT(INDIRECT(cel_semana_atual_fim),"dd/mm"))</f>
        <v>Panorama até 20/05</v>
      </c>
      <c r="E5" s="72"/>
      <c r="F5" s="72"/>
    </row>
    <row r="6" spans="2:6" x14ac:dyDescent="0.25">
      <c r="B6" s="58" t="s">
        <v>95</v>
      </c>
      <c r="C6" s="67" t="s">
        <v>267</v>
      </c>
      <c r="D6" s="57" t="s">
        <v>264</v>
      </c>
      <c r="E6" s="57" t="s">
        <v>265</v>
      </c>
      <c r="F6" s="57" t="s">
        <v>266</v>
      </c>
    </row>
    <row r="7" spans="2:6" x14ac:dyDescent="0.25">
      <c r="B7" s="59" t="s">
        <v>272</v>
      </c>
      <c r="C7" s="61">
        <f>cel_lazer_outros</f>
        <v>1559.4950000000001</v>
      </c>
      <c r="D7" s="62" cm="1">
        <f t="array" aca="1" ref="D7" ca="1">INDIRECT("'Panorama'!" &amp; col_semana_atual &amp; "4")</f>
        <v>308.55500000000018</v>
      </c>
      <c r="E7" s="62" cm="1">
        <f t="array" aca="1" ref="E7" ca="1">INDIRECT("'Panorama'!" &amp; CHAR(CODE(col_semana_atual)+1) &amp; "4")</f>
        <v>-181.6</v>
      </c>
      <c r="F7" s="62" cm="1">
        <f t="array" aca="1" ref="F7" ca="1">INDIRECT("'Panorama'!" &amp; CHAR(CODE(col_semana_atual)+2) &amp; "4")</f>
        <v>126.95500000000018</v>
      </c>
    </row>
    <row r="8" spans="2:6" x14ac:dyDescent="0.25">
      <c r="B8" s="58" t="s">
        <v>274</v>
      </c>
      <c r="C8" s="61">
        <f>cel_investimento_outros</f>
        <v>779.74750000000006</v>
      </c>
      <c r="D8" s="62" cm="1">
        <f t="array" aca="1" ref="D8" ca="1">INDIRECT("'Panorama'!" &amp; col_semana_atual &amp; "5")</f>
        <v>264.22750000000008</v>
      </c>
      <c r="E8" s="62" cm="1">
        <f t="array" aca="1" ref="E8" ca="1">INDIRECT("'Panorama'!" &amp; CHAR(CODE(col_semana_atual)+1) &amp; "5")</f>
        <v>168.07</v>
      </c>
      <c r="F8" s="62" cm="1">
        <f t="array" aca="1" ref="F8" ca="1">INDIRECT("'Panorama'!" &amp; CHAR(CODE(col_semana_atual)+2) &amp; "5")</f>
        <v>432.29750000000007</v>
      </c>
    </row>
    <row r="9" spans="2:6" x14ac:dyDescent="0.25">
      <c r="B9" s="59" t="s">
        <v>275</v>
      </c>
      <c r="C9" s="61">
        <f>cel_necessidades_ocasionais_outros</f>
        <v>1559.4950000000001</v>
      </c>
      <c r="D9" s="62" cm="1">
        <f t="array" aca="1" ref="D9" ca="1">INDIRECT("'Panorama'!" &amp; col_semana_atual &amp; "6")</f>
        <v>-162.03500000000003</v>
      </c>
      <c r="E9" s="62" cm="1">
        <f t="array" aca="1" ref="E9" ca="1">INDIRECT("'Panorama'!" &amp; CHAR(CODE(col_semana_atual)+1) &amp; "6")</f>
        <v>-2800</v>
      </c>
      <c r="F9" s="62" cm="1">
        <f t="array" aca="1" ref="F9" ca="1">INDIRECT("'Panorama'!" &amp; CHAR(CODE(col_semana_atual)+2) &amp; "6")</f>
        <v>-2962.0349999999999</v>
      </c>
    </row>
    <row r="10" spans="2:6" x14ac:dyDescent="0.25">
      <c r="B10" s="59" t="s">
        <v>100</v>
      </c>
      <c r="C10" s="61">
        <f>cel_necessidades_fixas_outros</f>
        <v>8196.2125000000015</v>
      </c>
      <c r="D10" s="62" cm="1">
        <f t="array" aca="1" ref="D10" ca="1">INDIRECT("'Panorama'!" &amp; col_semana_atual &amp; "7")</f>
        <v>6663.1625000000013</v>
      </c>
      <c r="E10" s="62" cm="1">
        <f t="array" aca="1" ref="E10" ca="1">INDIRECT("'Panorama'!" &amp; CHAR(CODE(col_semana_atual)+1) &amp; "7")</f>
        <v>-283.18</v>
      </c>
      <c r="F10" s="62" cm="1">
        <f t="array" aca="1" ref="F10" ca="1">INDIRECT("'Panorama'!" &amp; CHAR(CODE(col_semana_atual)+2) &amp; "7")</f>
        <v>6379.982500000001</v>
      </c>
    </row>
    <row r="11" spans="2:6" x14ac:dyDescent="0.25">
      <c r="B11" s="58" t="s">
        <v>22</v>
      </c>
      <c r="C11" s="60">
        <v>2000</v>
      </c>
      <c r="D11" s="62" cm="1">
        <f t="array" aca="1" ref="D11" ca="1">INDIRECT("'Panorama'!" &amp; col_semana_atual &amp; "8")</f>
        <v>1208.8600000000001</v>
      </c>
      <c r="E11" s="62" cm="1">
        <f t="array" aca="1" ref="E11" ca="1">INDIRECT("'Panorama'!" &amp; CHAR(CODE(col_semana_atual)+1) &amp; "8")</f>
        <v>-620.92999999999995</v>
      </c>
      <c r="F11" s="62" cm="1">
        <f t="array" aca="1" ref="F11" ca="1">INDIRECT("'Panorama'!" &amp; CHAR(CODE(col_semana_atual)+2) &amp; "8")</f>
        <v>587.93000000000018</v>
      </c>
    </row>
    <row r="12" spans="2:6" x14ac:dyDescent="0.25">
      <c r="B12" s="58" t="s">
        <v>24</v>
      </c>
      <c r="C12" s="60">
        <v>600</v>
      </c>
      <c r="D12" s="62" cm="1">
        <f t="array" aca="1" ref="D12" ca="1">INDIRECT("'Panorama'!" &amp; col_semana_atual &amp; "9")</f>
        <v>381.08</v>
      </c>
      <c r="E12" s="62" cm="1">
        <f t="array" aca="1" ref="E12" ca="1">INDIRECT("'Panorama'!" &amp; CHAR(CODE(col_semana_atual)+1) &amp; "9")</f>
        <v>0</v>
      </c>
      <c r="F12" s="62" cm="1">
        <f t="array" aca="1" ref="F12" ca="1">INDIRECT("'Panorama'!" &amp; CHAR(CODE(col_semana_atual)+2) &amp; "9")</f>
        <v>381.08</v>
      </c>
    </row>
    <row r="13" spans="2:6" x14ac:dyDescent="0.25">
      <c r="B13" s="58" t="s">
        <v>26</v>
      </c>
      <c r="C13" s="60">
        <v>0</v>
      </c>
      <c r="D13" s="62" cm="1">
        <f t="array" aca="1" ref="D13" ca="1">INDIRECT("'Panorama'!" &amp; col_semana_atual &amp; "10")</f>
        <v>4015</v>
      </c>
      <c r="E13" s="62" cm="1">
        <f t="array" aca="1" ref="E13" ca="1">INDIRECT("'Panorama'!" &amp; CHAR(CODE(col_semana_atual)+1) &amp; "10")</f>
        <v>0</v>
      </c>
      <c r="F13" s="62" cm="1">
        <f t="array" aca="1" ref="F13" ca="1">INDIRECT("'Panorama'!" &amp; CHAR(CODE(col_semana_atual)+2) &amp; "10")</f>
        <v>4015</v>
      </c>
    </row>
    <row r="14" spans="2:6" x14ac:dyDescent="0.25">
      <c r="B14" s="58" t="s">
        <v>28</v>
      </c>
      <c r="C14" s="60">
        <v>0</v>
      </c>
      <c r="D14" s="62" cm="1">
        <f t="array" aca="1" ref="D14" ca="1">INDIRECT("'Panorama'!" &amp; col_semana_atual &amp; "11")</f>
        <v>-159.44999999999999</v>
      </c>
      <c r="E14" s="62" cm="1">
        <f t="array" aca="1" ref="E14" ca="1">INDIRECT("'Panorama'!" &amp; CHAR(CODE(col_semana_atual)+1) &amp; "11")</f>
        <v>-93.9</v>
      </c>
      <c r="F14" s="62" cm="1">
        <f t="array" aca="1" ref="F14" ca="1">INDIRECT("'Panorama'!" &amp; CHAR(CODE(col_semana_atual)+2) &amp; "11")</f>
        <v>-253.35</v>
      </c>
    </row>
    <row r="15" spans="2:6" x14ac:dyDescent="0.25">
      <c r="B15" s="58" t="s">
        <v>30</v>
      </c>
      <c r="C15" s="60">
        <v>0</v>
      </c>
      <c r="D15" s="62" cm="1">
        <f t="array" aca="1" ref="D15" ca="1">INDIRECT("'Panorama'!" &amp; col_semana_atual &amp; "12")</f>
        <v>0</v>
      </c>
      <c r="E15" s="62" cm="1">
        <f t="array" aca="1" ref="E15" ca="1">INDIRECT("'Panorama'!" &amp; CHAR(CODE(col_semana_atual)+1) &amp; "12")</f>
        <v>0</v>
      </c>
      <c r="F15" s="62" cm="1">
        <f t="array" aca="1" ref="F15" ca="1">INDIRECT("'Panorama'!" &amp; CHAR(CODE(col_semana_atual)+2) &amp; "12")</f>
        <v>0</v>
      </c>
    </row>
    <row r="16" spans="2:6" x14ac:dyDescent="0.25">
      <c r="B16" s="58" t="s">
        <v>32</v>
      </c>
      <c r="C16" s="60">
        <v>200</v>
      </c>
      <c r="D16" s="62" cm="1">
        <f t="array" aca="1" ref="D16" ca="1">INDIRECT("'Panorama'!" &amp; col_semana_atual &amp; "13")</f>
        <v>145</v>
      </c>
      <c r="E16" s="62" cm="1">
        <f t="array" aca="1" ref="E16" ca="1">INDIRECT("'Panorama'!" &amp; CHAR(CODE(col_semana_atual)+1) &amp; "13")</f>
        <v>-60</v>
      </c>
      <c r="F16" s="62" cm="1">
        <f t="array" aca="1" ref="F16" ca="1">INDIRECT("'Panorama'!" &amp; CHAR(CODE(col_semana_atual)+2) &amp; "13")</f>
        <v>85</v>
      </c>
    </row>
    <row r="17" spans="2:6" x14ac:dyDescent="0.25">
      <c r="B17" s="58" t="s">
        <v>34</v>
      </c>
      <c r="C17" s="60">
        <v>700</v>
      </c>
      <c r="D17" s="62" cm="1">
        <f t="array" aca="1" ref="D17" ca="1">INDIRECT("'Panorama'!" &amp; col_semana_atual &amp; "14")</f>
        <v>246.85000000000002</v>
      </c>
      <c r="E17" s="62" cm="1">
        <f t="array" aca="1" ref="E17" ca="1">INDIRECT("'Panorama'!" &amp; CHAR(CODE(col_semana_atual)+1) &amp; "14")</f>
        <v>-240.25</v>
      </c>
      <c r="F17" s="62" cm="1">
        <f t="array" aca="1" ref="F17" ca="1">INDIRECT("'Panorama'!" &amp; CHAR(CODE(col_semana_atual)+2) &amp; "14")</f>
        <v>6.6000000000000227</v>
      </c>
    </row>
    <row r="18" spans="2:6" x14ac:dyDescent="0.25">
      <c r="B18" s="54"/>
      <c r="C18" s="61">
        <f>SUBTOTAL(109,Tabela3[Planejado para o ciclo])</f>
        <v>15594.95</v>
      </c>
      <c r="D18" s="62">
        <f ca="1">SUBTOTAL(109,Tabela3[Reservado na semana])</f>
        <v>12911.250000000002</v>
      </c>
      <c r="E18" s="62">
        <f ca="1">SUBTOTAL(109,Tabela3[Realizado na semana])</f>
        <v>-4111.79</v>
      </c>
      <c r="F18" s="62">
        <f ca="1">SUBTOTAL(109,Tabela3[Saldo para semana])</f>
        <v>8799.4600000000028</v>
      </c>
    </row>
    <row r="19" spans="2:6" x14ac:dyDescent="0.25">
      <c r="C19" s="56"/>
      <c r="D19" s="55"/>
      <c r="E19" s="55"/>
      <c r="F19" s="55"/>
    </row>
  </sheetData>
  <sheetProtection sheet="1" selectLockedCells="1"/>
  <mergeCells count="2">
    <mergeCell ref="D5:F5"/>
    <mergeCell ref="B1:F1"/>
  </mergeCells>
  <dataValidations count="3">
    <dataValidation type="custom" errorStyle="warning" allowBlank="1" showInputMessage="1" showErrorMessage="1" errorTitle="Percentual inválido" error="O total do percentual de alocação tem que ser sempre 100%" promptTitle="Percentual de alocação" prompt="Indique o percentual de alocação para a categoria" sqref="D3 D4 F3 F4" xr:uid="{A2F8040D-8C79-4F1B-B853-B0D0CCF79918}">
      <formula1>$F$3+$F$4+$H$3+$H$4&lt;1</formula1>
    </dataValidation>
    <dataValidation type="whole" errorStyle="warning" allowBlank="1" showInputMessage="1" showErrorMessage="1" errorTitle="Ciclo inconsistente" error="A aquantidade de dias tem que ficar entre 1 e 30" promptTitle="Ciclo" prompt="Tamaho do periodo contabil entre 1 e 30 dias" sqref="F2" xr:uid="{7F7AC6D8-9687-462A-9467-35E4BE9B1305}">
      <formula1>1</formula1>
      <formula2>31</formula2>
    </dataValidation>
    <dataValidation type="date" errorStyle="warning" showInputMessage="1" showErrorMessage="1" errorTitle="Data inicial invalida" error="Digite uma data que faça sentido" promptTitle="Inicio do cliclo" prompt="Informe a data inicial do ciclo" sqref="D2" xr:uid="{E4EB8D55-3FE2-43E0-B0AD-191A08E3497C}">
      <formula1>25569</formula1>
      <formula2>53327</formula2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2A3C-8066-4DBA-AB69-93D5E309714D}">
  <dimension ref="A1:Q20"/>
  <sheetViews>
    <sheetView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C20" sqref="C20"/>
    </sheetView>
  </sheetViews>
  <sheetFormatPr defaultRowHeight="15" x14ac:dyDescent="0.25"/>
  <cols>
    <col min="1" max="1" width="1.7109375" customWidth="1"/>
    <col min="2" max="2" width="37.28515625" bestFit="1" customWidth="1"/>
    <col min="3" max="3" width="13.7109375" bestFit="1" customWidth="1"/>
    <col min="4" max="5" width="14.85546875" bestFit="1" customWidth="1"/>
    <col min="6" max="6" width="13.7109375" bestFit="1" customWidth="1"/>
    <col min="7" max="8" width="14.85546875" bestFit="1" customWidth="1"/>
    <col min="9" max="9" width="13.7109375" bestFit="1" customWidth="1"/>
    <col min="10" max="17" width="14.85546875" bestFit="1" customWidth="1"/>
    <col min="18" max="18" width="11.42578125" customWidth="1"/>
  </cols>
  <sheetData>
    <row r="1" spans="1:17" ht="21.75" thickBot="1" x14ac:dyDescent="0.3">
      <c r="B1" s="74" t="s">
        <v>251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x14ac:dyDescent="0.25">
      <c r="A2" s="3"/>
      <c r="B2" s="78" t="s">
        <v>95</v>
      </c>
      <c r="C2" s="75" t="str">
        <f>_xlfn.CONCAT("Até: ",TEXT(cel_semana2,"dd/mm"))</f>
        <v>Até: 27/04</v>
      </c>
      <c r="D2" s="76"/>
      <c r="E2" s="77"/>
      <c r="F2" s="75" t="str">
        <f>_xlfn.CONCAT("Até: ",TEXT(cel_semana3,"dd/mm"))</f>
        <v>Até: 04/05</v>
      </c>
      <c r="G2" s="76"/>
      <c r="H2" s="77"/>
      <c r="I2" s="75" t="str">
        <f>_xlfn.CONCAT("Até: ",TEXT(cel_semana4,"dd/mm"))</f>
        <v>Até: 11/05</v>
      </c>
      <c r="J2" s="76"/>
      <c r="K2" s="77"/>
      <c r="L2" s="75" t="str">
        <f>_xlfn.CONCAT("Até: ",TEXT(cel_data_fim,"dd/mm"))</f>
        <v>Até: 20/05</v>
      </c>
      <c r="M2" s="76"/>
      <c r="N2" s="77"/>
      <c r="O2" s="75" t="s">
        <v>252</v>
      </c>
      <c r="P2" s="76"/>
      <c r="Q2" s="77"/>
    </row>
    <row r="3" spans="1:17" ht="15.75" thickBot="1" x14ac:dyDescent="0.3">
      <c r="A3" s="3"/>
      <c r="B3" s="79"/>
      <c r="C3" s="49" t="s">
        <v>253</v>
      </c>
      <c r="D3" s="50" t="s">
        <v>254</v>
      </c>
      <c r="E3" s="10" t="s">
        <v>255</v>
      </c>
      <c r="F3" s="49" t="s">
        <v>253</v>
      </c>
      <c r="G3" s="50" t="s">
        <v>254</v>
      </c>
      <c r="H3" s="10" t="s">
        <v>255</v>
      </c>
      <c r="I3" s="49" t="s">
        <v>253</v>
      </c>
      <c r="J3" s="50" t="s">
        <v>254</v>
      </c>
      <c r="K3" s="10" t="s">
        <v>255</v>
      </c>
      <c r="L3" s="49" t="s">
        <v>253</v>
      </c>
      <c r="M3" s="9" t="s">
        <v>254</v>
      </c>
      <c r="N3" s="10" t="s">
        <v>255</v>
      </c>
      <c r="O3" s="8" t="s">
        <v>253</v>
      </c>
      <c r="P3" s="9" t="s">
        <v>254</v>
      </c>
      <c r="Q3" s="10" t="s">
        <v>255</v>
      </c>
    </row>
    <row r="4" spans="1:17" x14ac:dyDescent="0.25">
      <c r="A4" s="3"/>
      <c r="B4" s="51" t="s">
        <v>272</v>
      </c>
      <c r="C4" s="17">
        <f t="shared" ref="C4:C14" si="0">O4*cel_semana1_perc</f>
        <v>363.88216666666671</v>
      </c>
      <c r="D4" s="18">
        <f>SUMIFS(tb_recebiveis[valor],tb_recebiveis[Data],"&gt;=" &amp; cel_semana1,tb_recebiveis[Data],"&lt;" &amp; cel_semana2,tb_recebiveis[Categoria],B4)</f>
        <v>-595.16999999999996</v>
      </c>
      <c r="E4" s="19">
        <f>C4+D4</f>
        <v>-231.28783333333325</v>
      </c>
      <c r="F4" s="17">
        <f t="shared" ref="F4:F14" si="1">(O4*cel_semana2_perc)+IFERROR(E4/3,0)</f>
        <v>286.78622222222231</v>
      </c>
      <c r="G4" s="18">
        <f>SUMIFS(tb_recebiveis[valor],tb_recebiveis[Data],"&gt;=" &amp; cel_semana2,tb_recebiveis[Data],"&lt;" &amp; cel_semana3,tb_recebiveis[Categoria],B4)</f>
        <v>-307.65999999999997</v>
      </c>
      <c r="H4" s="19">
        <f>(F4+G4)</f>
        <v>-20.873777777777661</v>
      </c>
      <c r="I4" s="17">
        <f t="shared" ref="I4:I14" si="2">(O4*cel_semana3_perc)+IFERROR(E4/3,0)+IFERROR(H4/2,0)</f>
        <v>276.34933333333345</v>
      </c>
      <c r="J4" s="18">
        <f>SUMIFS(tb_recebiveis[valor],tb_recebiveis[Data],"&gt;=" &amp; cel_semana3,tb_recebiveis[Data],"&lt;" &amp; cel_semana4,tb_recebiveis[Categoria],B4)</f>
        <v>-348.11</v>
      </c>
      <c r="K4" s="19">
        <f>(I4+J4)</f>
        <v>-71.760666666666566</v>
      </c>
      <c r="L4" s="17">
        <f t="shared" ref="L4:L14" si="3">(O4*cel_semana4_perc)+IFERROR(E4/3,0)+IFERROR(H4/2,0)+K4</f>
        <v>308.55500000000018</v>
      </c>
      <c r="M4" s="18">
        <f>SUMIFS(tb_recebiveis[valor],tb_recebiveis[Data],"&gt;=" &amp; cel_semana4,tb_recebiveis[Data],"&lt;=" &amp; cel_data_fim,tb_recebiveis[Categoria],B4)</f>
        <v>-181.6</v>
      </c>
      <c r="N4" s="19">
        <f>(L4+M4)</f>
        <v>126.95500000000018</v>
      </c>
      <c r="O4" s="17">
        <f>cel_lazer_outros</f>
        <v>1559.4950000000001</v>
      </c>
      <c r="P4" s="18">
        <f t="shared" ref="P4:P5" si="4">D4+G4+J4+M4</f>
        <v>-1432.54</v>
      </c>
      <c r="Q4" s="19">
        <f>O4+P4</f>
        <v>126.95500000000015</v>
      </c>
    </row>
    <row r="5" spans="1:17" x14ac:dyDescent="0.25">
      <c r="A5" s="3"/>
      <c r="B5" s="21" t="s">
        <v>274</v>
      </c>
      <c r="C5" s="11">
        <f t="shared" si="0"/>
        <v>181.94108333333335</v>
      </c>
      <c r="D5" s="70">
        <f>SUMIFS(tb_recebiveis[valor],tb_recebiveis[Data],"&gt;=" &amp; cel_semana1,tb_recebiveis[Data],"&lt;" &amp; cel_semana2,tb_recebiveis[Categoria],B5)</f>
        <v>-150</v>
      </c>
      <c r="E5" s="12">
        <f t="shared" ref="E5:E14" si="5">C5+D5</f>
        <v>31.941083333333353</v>
      </c>
      <c r="F5" s="11">
        <f t="shared" si="1"/>
        <v>192.58811111111115</v>
      </c>
      <c r="G5" s="70">
        <f>SUMIFS(tb_recebiveis[valor],tb_recebiveis[Data],"&gt;=" &amp; cel_semana2,tb_recebiveis[Data],"&lt;" &amp; cel_semana3,tb_recebiveis[Categoria],B5)</f>
        <v>-250</v>
      </c>
      <c r="H5" s="12">
        <f t="shared" ref="H5:H14" si="6">(F5+G5)</f>
        <v>-57.411888888888853</v>
      </c>
      <c r="I5" s="11">
        <f t="shared" si="2"/>
        <v>163.88216666666671</v>
      </c>
      <c r="J5" s="70">
        <f>SUMIFS(tb_recebiveis[valor],tb_recebiveis[Data],"&gt;=" &amp; cel_semana3,tb_recebiveis[Data],"&lt;" &amp; cel_semana4,tb_recebiveis[Categoria],B5)</f>
        <v>-115.52</v>
      </c>
      <c r="K5" s="12">
        <f t="shared" ref="K5:K14" si="7">(I5+J5)</f>
        <v>48.36216666666671</v>
      </c>
      <c r="L5" s="11">
        <f t="shared" si="3"/>
        <v>264.22750000000008</v>
      </c>
      <c r="M5" s="80">
        <f>SUMIFS(tb_recebiveis[valor],tb_recebiveis[Data],"&gt;=" &amp; cel_semana4,tb_recebiveis[Data],"&lt;=" &amp; cel_data_fim,tb_recebiveis[Categoria],B5)</f>
        <v>168.07</v>
      </c>
      <c r="N5" s="12">
        <f t="shared" ref="N5:N14" si="8">(L5+M5)</f>
        <v>432.29750000000007</v>
      </c>
      <c r="O5" s="11">
        <f>cel_investimento_outros</f>
        <v>779.74750000000006</v>
      </c>
      <c r="P5" s="70">
        <f t="shared" si="4"/>
        <v>-347.45</v>
      </c>
      <c r="Q5" s="12">
        <f t="shared" ref="Q5:Q14" si="9">O5+P5</f>
        <v>432.29750000000007</v>
      </c>
    </row>
    <row r="6" spans="1:17" x14ac:dyDescent="0.25">
      <c r="A6" s="3"/>
      <c r="B6" s="21" t="s">
        <v>275</v>
      </c>
      <c r="C6" s="11">
        <f t="shared" si="0"/>
        <v>363.88216666666671</v>
      </c>
      <c r="D6" s="70">
        <f>SUMIFS(tb_recebiveis[valor],tb_recebiveis[Data],"&gt;=" &amp; cel_semana1,tb_recebiveis[Data],"&lt;" &amp; cel_semana2,tb_recebiveis[Categoria],B6)</f>
        <v>-1525.9</v>
      </c>
      <c r="E6" s="12">
        <f t="shared" si="5"/>
        <v>-1162.0178333333333</v>
      </c>
      <c r="F6" s="11">
        <f t="shared" si="1"/>
        <v>-23.457111111111089</v>
      </c>
      <c r="G6" s="70">
        <f>SUMIFS(tb_recebiveis[valor],tb_recebiveis[Data],"&gt;=" &amp; cel_semana2,tb_recebiveis[Data],"&lt;" &amp; cel_semana3,tb_recebiveis[Categoria],B6)</f>
        <v>-232.68000000000006</v>
      </c>
      <c r="H6" s="12">
        <f t="shared" si="6"/>
        <v>-256.13711111111115</v>
      </c>
      <c r="I6" s="11">
        <f t="shared" si="2"/>
        <v>-151.52566666666667</v>
      </c>
      <c r="J6" s="70">
        <f>SUMIFS(tb_recebiveis[valor],tb_recebiveis[Data],"&gt;=" &amp; cel_semana3,tb_recebiveis[Data],"&lt;" &amp; cel_semana4,tb_recebiveis[Categoria],B6)</f>
        <v>37.050000000000018</v>
      </c>
      <c r="K6" s="12">
        <f t="shared" si="7"/>
        <v>-114.47566666666665</v>
      </c>
      <c r="L6" s="11">
        <f t="shared" si="3"/>
        <v>-162.03500000000003</v>
      </c>
      <c r="M6" s="80">
        <f>SUMIFS(tb_recebiveis[valor],tb_recebiveis[Data],"&gt;=" &amp; cel_semana4,tb_recebiveis[Data],"&lt;=" &amp; cel_data_fim,tb_recebiveis[Categoria],B6)</f>
        <v>-2800</v>
      </c>
      <c r="N6" s="12">
        <f t="shared" si="8"/>
        <v>-2962.0349999999999</v>
      </c>
      <c r="O6" s="11">
        <f>cel_necessidades_ocasionais_outros</f>
        <v>1559.4950000000001</v>
      </c>
      <c r="P6" s="70">
        <f>D6+G6+J6+M6</f>
        <v>-4521.5300000000007</v>
      </c>
      <c r="Q6" s="12">
        <f t="shared" si="9"/>
        <v>-2962.0350000000008</v>
      </c>
    </row>
    <row r="7" spans="1:17" x14ac:dyDescent="0.25">
      <c r="A7" s="3"/>
      <c r="B7" s="21" t="s">
        <v>100</v>
      </c>
      <c r="C7" s="11">
        <f t="shared" si="0"/>
        <v>1912.4495833333337</v>
      </c>
      <c r="D7" s="70">
        <f>SUMIFS(tb_recebiveis[valor],tb_recebiveis[Data],"&gt;=" &amp; cel_semana1,tb_recebiveis[Data],"&lt;" &amp; cel_semana2,tb_recebiveis[Categoria],B7)</f>
        <v>-106.9</v>
      </c>
      <c r="E7" s="12">
        <f t="shared" si="5"/>
        <v>1805.5495833333337</v>
      </c>
      <c r="F7" s="11">
        <f t="shared" si="1"/>
        <v>2514.2994444444448</v>
      </c>
      <c r="G7" s="70">
        <f>SUMIFS(tb_recebiveis[valor],tb_recebiveis[Data],"&gt;=" &amp; cel_semana2,tb_recebiveis[Data],"&lt;" &amp; cel_semana3,tb_recebiveis[Categoria],B7)</f>
        <v>-156.81</v>
      </c>
      <c r="H7" s="12">
        <f t="shared" si="6"/>
        <v>2357.4894444444449</v>
      </c>
      <c r="I7" s="11">
        <f t="shared" si="2"/>
        <v>3693.0441666666675</v>
      </c>
      <c r="J7" s="70">
        <f>SUMIFS(tb_recebiveis[valor],tb_recebiveis[Data],"&gt;=" &amp; cel_semana3,tb_recebiveis[Data],"&lt;" &amp; cel_semana4,tb_recebiveis[Categoria],B7)</f>
        <v>-1269.3400000000001</v>
      </c>
      <c r="K7" s="12">
        <f t="shared" si="7"/>
        <v>2423.7041666666673</v>
      </c>
      <c r="L7" s="11">
        <f t="shared" si="3"/>
        <v>6663.1625000000013</v>
      </c>
      <c r="M7" s="80">
        <f>SUMIFS(tb_recebiveis[valor],tb_recebiveis[Data],"&gt;=" &amp; cel_semana4,tb_recebiveis[Data],"&lt;=" &amp; cel_data_fim,tb_recebiveis[Categoria],B7)</f>
        <v>-283.18</v>
      </c>
      <c r="N7" s="12">
        <f t="shared" si="8"/>
        <v>6379.982500000001</v>
      </c>
      <c r="O7" s="11">
        <f>cel_necessidades_fixas_outros</f>
        <v>8196.2125000000015</v>
      </c>
      <c r="P7" s="70">
        <f t="shared" ref="P7:P14" si="10">D7+G7+J7+M7</f>
        <v>-1816.2300000000002</v>
      </c>
      <c r="Q7" s="12">
        <f t="shared" si="9"/>
        <v>6379.982500000001</v>
      </c>
    </row>
    <row r="8" spans="1:17" x14ac:dyDescent="0.25">
      <c r="A8" s="3"/>
      <c r="B8" s="21" t="s">
        <v>22</v>
      </c>
      <c r="C8" s="11">
        <f t="shared" si="0"/>
        <v>466.66666666666669</v>
      </c>
      <c r="D8" s="70">
        <f>SUMIFS(tb_recebiveis[valor],tb_recebiveis[Data],"&gt;=" &amp; cel_semana1,tb_recebiveis[Data],"&lt;" &amp; cel_semana2,tb_recebiveis[Categoria],B8)</f>
        <v>-540.58999999999992</v>
      </c>
      <c r="E8" s="12">
        <f t="shared" si="5"/>
        <v>-73.923333333333233</v>
      </c>
      <c r="F8" s="11">
        <f t="shared" si="1"/>
        <v>442.02555555555563</v>
      </c>
      <c r="G8" s="70">
        <f>SUMIFS(tb_recebiveis[valor],tb_recebiveis[Data],"&gt;=" &amp; cel_semana2,tb_recebiveis[Data],"&lt;" &amp; cel_semana3,tb_recebiveis[Categoria],B8)</f>
        <v>-105.24</v>
      </c>
      <c r="H8" s="12">
        <f t="shared" si="6"/>
        <v>336.78555555555562</v>
      </c>
      <c r="I8" s="11">
        <f t="shared" si="2"/>
        <v>610.41833333333341</v>
      </c>
      <c r="J8" s="70">
        <f>SUMIFS(tb_recebiveis[valor],tb_recebiveis[Data],"&gt;=" &amp; cel_semana3,tb_recebiveis[Data],"&lt;" &amp; cel_semana4,tb_recebiveis[Categoria],B8)</f>
        <v>-145.31</v>
      </c>
      <c r="K8" s="12">
        <f t="shared" si="7"/>
        <v>465.10833333333341</v>
      </c>
      <c r="L8" s="11">
        <f t="shared" si="3"/>
        <v>1208.8600000000001</v>
      </c>
      <c r="M8" s="80">
        <f>SUMIFS(tb_recebiveis[valor],tb_recebiveis[Data],"&gt;=" &amp; cel_semana4,tb_recebiveis[Data],"&lt;=" &amp; cel_data_fim,tb_recebiveis[Categoria],B8)</f>
        <v>-620.92999999999995</v>
      </c>
      <c r="N8" s="12">
        <f t="shared" si="8"/>
        <v>587.93000000000018</v>
      </c>
      <c r="O8" s="11">
        <f>cel_necessidades_fixas_mercado</f>
        <v>2000</v>
      </c>
      <c r="P8" s="70">
        <f t="shared" si="10"/>
        <v>-1412.0699999999997</v>
      </c>
      <c r="Q8" s="12">
        <f t="shared" si="9"/>
        <v>587.93000000000029</v>
      </c>
    </row>
    <row r="9" spans="1:17" x14ac:dyDescent="0.25">
      <c r="A9" s="3"/>
      <c r="B9" s="21" t="s">
        <v>24</v>
      </c>
      <c r="C9" s="11">
        <f t="shared" si="0"/>
        <v>140</v>
      </c>
      <c r="D9" s="70">
        <f>SUMIFS(tb_recebiveis[valor],tb_recebiveis[Data],"&gt;=" &amp; cel_semana1,tb_recebiveis[Data],"&lt;" &amp; cel_semana2,tb_recebiveis[Categoria],B9)</f>
        <v>-90.47</v>
      </c>
      <c r="E9" s="12">
        <f t="shared" si="5"/>
        <v>49.53</v>
      </c>
      <c r="F9" s="11">
        <f t="shared" si="1"/>
        <v>156.51</v>
      </c>
      <c r="G9" s="70">
        <f>SUMIFS(tb_recebiveis[valor],tb_recebiveis[Data],"&gt;=" &amp; cel_semana2,tb_recebiveis[Data],"&lt;" &amp; cel_semana3,tb_recebiveis[Categoria],B9)</f>
        <v>0</v>
      </c>
      <c r="H9" s="12">
        <f t="shared" si="6"/>
        <v>156.51</v>
      </c>
      <c r="I9" s="11">
        <f t="shared" si="2"/>
        <v>234.76499999999999</v>
      </c>
      <c r="J9" s="70">
        <f>SUMIFS(tb_recebiveis[valor],tb_recebiveis[Data],"&gt;=" &amp; cel_semana3,tb_recebiveis[Data],"&lt;" &amp; cel_semana4,tb_recebiveis[Categoria],B9)</f>
        <v>-128.44999999999999</v>
      </c>
      <c r="K9" s="12">
        <f t="shared" si="7"/>
        <v>106.315</v>
      </c>
      <c r="L9" s="11">
        <f t="shared" si="3"/>
        <v>381.08</v>
      </c>
      <c r="M9" s="80">
        <f>SUMIFS(tb_recebiveis[valor],tb_recebiveis[Data],"&gt;=" &amp; cel_semana4,tb_recebiveis[Data],"&lt;=" &amp; cel_data_fim,tb_recebiveis[Categoria],B9)</f>
        <v>0</v>
      </c>
      <c r="N9" s="12">
        <f t="shared" si="8"/>
        <v>381.08</v>
      </c>
      <c r="O9" s="11">
        <f>cel_necessidades_fixas_farmacia</f>
        <v>600</v>
      </c>
      <c r="P9" s="70">
        <f t="shared" si="10"/>
        <v>-218.92</v>
      </c>
      <c r="Q9" s="12">
        <f t="shared" si="9"/>
        <v>381.08000000000004</v>
      </c>
    </row>
    <row r="10" spans="1:17" x14ac:dyDescent="0.25">
      <c r="A10" s="3"/>
      <c r="B10" s="21" t="s">
        <v>26</v>
      </c>
      <c r="C10" s="11">
        <f t="shared" si="0"/>
        <v>0</v>
      </c>
      <c r="D10" s="70">
        <f>SUMIFS(tb_recebiveis[valor],tb_recebiveis[Data],"&gt;=" &amp; cel_semana1,tb_recebiveis[Data],"&lt;" &amp; cel_semana2,tb_recebiveis[Categoria],B10)</f>
        <v>0</v>
      </c>
      <c r="E10" s="12">
        <f t="shared" si="5"/>
        <v>0</v>
      </c>
      <c r="F10" s="11">
        <f t="shared" si="1"/>
        <v>0</v>
      </c>
      <c r="G10" s="70">
        <f>SUMIFS(tb_recebiveis[valor],tb_recebiveis[Data],"&gt;=" &amp; cel_semana2,tb_recebiveis[Data],"&lt;" &amp; cel_semana3,tb_recebiveis[Categoria],B10)</f>
        <v>4015</v>
      </c>
      <c r="H10" s="12">
        <f t="shared" si="6"/>
        <v>4015</v>
      </c>
      <c r="I10" s="11">
        <f t="shared" si="2"/>
        <v>2007.5</v>
      </c>
      <c r="J10" s="70">
        <f>SUMIFS(tb_recebiveis[valor],tb_recebiveis[Data],"&gt;=" &amp; cel_semana3,tb_recebiveis[Data],"&lt;" &amp; cel_semana4,tb_recebiveis[Categoria],B10)</f>
        <v>0</v>
      </c>
      <c r="K10" s="12">
        <f t="shared" si="7"/>
        <v>2007.5</v>
      </c>
      <c r="L10" s="11">
        <f t="shared" si="3"/>
        <v>4015</v>
      </c>
      <c r="M10" s="80">
        <f>SUMIFS(tb_recebiveis[valor],tb_recebiveis[Data],"&gt;=" &amp; cel_semana4,tb_recebiveis[Data],"&lt;=" &amp; cel_data_fim,tb_recebiveis[Categoria],B10)</f>
        <v>0</v>
      </c>
      <c r="N10" s="12">
        <f t="shared" si="8"/>
        <v>4015</v>
      </c>
      <c r="O10" s="11">
        <f>cel_necessidades_fixas_faxina</f>
        <v>0</v>
      </c>
      <c r="P10" s="70">
        <f t="shared" si="10"/>
        <v>4015</v>
      </c>
      <c r="Q10" s="12">
        <f t="shared" si="9"/>
        <v>4015</v>
      </c>
    </row>
    <row r="11" spans="1:17" x14ac:dyDescent="0.25">
      <c r="A11" s="3"/>
      <c r="B11" s="21" t="s">
        <v>28</v>
      </c>
      <c r="C11" s="11">
        <f t="shared" si="0"/>
        <v>0</v>
      </c>
      <c r="D11" s="70">
        <f>SUMIFS(tb_recebiveis[valor],tb_recebiveis[Data],"&gt;=" &amp; cel_semana1,tb_recebiveis[Data],"&lt;" &amp; cel_semana2,tb_recebiveis[Categoria],B11)</f>
        <v>-50.55</v>
      </c>
      <c r="E11" s="12">
        <f t="shared" si="5"/>
        <v>-50.55</v>
      </c>
      <c r="F11" s="11">
        <f t="shared" si="1"/>
        <v>-16.849999999999998</v>
      </c>
      <c r="G11" s="70">
        <f>SUMIFS(tb_recebiveis[valor],tb_recebiveis[Data],"&gt;=" &amp; cel_semana2,tb_recebiveis[Data],"&lt;" &amp; cel_semana3,tb_recebiveis[Categoria],B11)</f>
        <v>-20</v>
      </c>
      <c r="H11" s="12">
        <f t="shared" si="6"/>
        <v>-36.849999999999994</v>
      </c>
      <c r="I11" s="11">
        <f t="shared" si="2"/>
        <v>-35.274999999999991</v>
      </c>
      <c r="J11" s="70">
        <f>SUMIFS(tb_recebiveis[valor],tb_recebiveis[Data],"&gt;=" &amp; cel_semana3,tb_recebiveis[Data],"&lt;" &amp; cel_semana4,tb_recebiveis[Categoria],B11)</f>
        <v>-88.9</v>
      </c>
      <c r="K11" s="12">
        <f t="shared" si="7"/>
        <v>-124.175</v>
      </c>
      <c r="L11" s="11">
        <f t="shared" si="3"/>
        <v>-159.44999999999999</v>
      </c>
      <c r="M11" s="80">
        <f>SUMIFS(tb_recebiveis[valor],tb_recebiveis[Data],"&gt;=" &amp; cel_semana4,tb_recebiveis[Data],"&lt;=" &amp; cel_data_fim,tb_recebiveis[Categoria],B11)</f>
        <v>-93.9</v>
      </c>
      <c r="N11" s="12">
        <f t="shared" si="8"/>
        <v>-253.35</v>
      </c>
      <c r="O11" s="11">
        <f>cel_necessidades_fixas_transporte</f>
        <v>0</v>
      </c>
      <c r="P11" s="70">
        <f t="shared" si="10"/>
        <v>-253.35</v>
      </c>
      <c r="Q11" s="12">
        <f t="shared" si="9"/>
        <v>-253.35</v>
      </c>
    </row>
    <row r="12" spans="1:17" x14ac:dyDescent="0.25">
      <c r="A12" s="3"/>
      <c r="B12" s="21" t="s">
        <v>30</v>
      </c>
      <c r="C12" s="11">
        <f t="shared" si="0"/>
        <v>0</v>
      </c>
      <c r="D12" s="70">
        <f>SUMIFS(tb_recebiveis[valor],tb_recebiveis[Data],"&gt;=" &amp; cel_semana1,tb_recebiveis[Data],"&lt;" &amp; cel_semana2,tb_recebiveis[Categoria],B12)</f>
        <v>0</v>
      </c>
      <c r="E12" s="12">
        <f t="shared" si="5"/>
        <v>0</v>
      </c>
      <c r="F12" s="11">
        <f t="shared" si="1"/>
        <v>0</v>
      </c>
      <c r="G12" s="70">
        <f>SUMIFS(tb_recebiveis[valor],tb_recebiveis[Data],"&gt;=" &amp; cel_semana2,tb_recebiveis[Data],"&lt;" &amp; cel_semana3,tb_recebiveis[Categoria],B12)</f>
        <v>0</v>
      </c>
      <c r="H12" s="12">
        <f t="shared" si="6"/>
        <v>0</v>
      </c>
      <c r="I12" s="11">
        <f t="shared" si="2"/>
        <v>0</v>
      </c>
      <c r="J12" s="70">
        <f>SUMIFS(tb_recebiveis[valor],tb_recebiveis[Data],"&gt;=" &amp; cel_semana3,tb_recebiveis[Data],"&lt;" &amp; cel_semana4,tb_recebiveis[Categoria],B12)</f>
        <v>0</v>
      </c>
      <c r="K12" s="12">
        <f t="shared" si="7"/>
        <v>0</v>
      </c>
      <c r="L12" s="11">
        <f t="shared" si="3"/>
        <v>0</v>
      </c>
      <c r="M12" s="80">
        <f>SUMIFS(tb_recebiveis[valor],tb_recebiveis[Data],"&gt;=" &amp; cel_semana4,tb_recebiveis[Data],"&lt;=" &amp; cel_data_fim,tb_recebiveis[Categoria],B12)</f>
        <v>0</v>
      </c>
      <c r="N12" s="12">
        <f t="shared" si="8"/>
        <v>0</v>
      </c>
      <c r="O12" s="11">
        <f>cel_necessidades_fixas_corrida</f>
        <v>0</v>
      </c>
      <c r="P12" s="70">
        <f t="shared" si="10"/>
        <v>0</v>
      </c>
      <c r="Q12" s="12">
        <f t="shared" si="9"/>
        <v>0</v>
      </c>
    </row>
    <row r="13" spans="1:17" x14ac:dyDescent="0.25">
      <c r="A13" s="3"/>
      <c r="B13" s="21" t="s">
        <v>32</v>
      </c>
      <c r="C13" s="11">
        <f t="shared" si="0"/>
        <v>46.666666666666664</v>
      </c>
      <c r="D13" s="70">
        <f>SUMIFS(tb_recebiveis[valor],tb_recebiveis[Data],"&gt;=" &amp; cel_semana1,tb_recebiveis[Data],"&lt;" &amp; cel_semana2,tb_recebiveis[Categoria],B13)</f>
        <v>0</v>
      </c>
      <c r="E13" s="12">
        <f t="shared" si="5"/>
        <v>46.666666666666664</v>
      </c>
      <c r="F13" s="11">
        <f t="shared" si="1"/>
        <v>62.222222222222221</v>
      </c>
      <c r="G13" s="70">
        <f>SUMIFS(tb_recebiveis[valor],tb_recebiveis[Data],"&gt;=" &amp; cel_semana2,tb_recebiveis[Data],"&lt;" &amp; cel_semana3,tb_recebiveis[Categoria],B13)</f>
        <v>0</v>
      </c>
      <c r="H13" s="12">
        <f t="shared" si="6"/>
        <v>62.222222222222221</v>
      </c>
      <c r="I13" s="11">
        <f t="shared" si="2"/>
        <v>93.333333333333329</v>
      </c>
      <c r="J13" s="70">
        <f>SUMIFS(tb_recebiveis[valor],tb_recebiveis[Data],"&gt;=" &amp; cel_semana3,tb_recebiveis[Data],"&lt;" &amp; cel_semana4,tb_recebiveis[Categoria],B13)</f>
        <v>-55</v>
      </c>
      <c r="K13" s="12">
        <f t="shared" si="7"/>
        <v>38.333333333333329</v>
      </c>
      <c r="L13" s="11">
        <f t="shared" si="3"/>
        <v>145</v>
      </c>
      <c r="M13" s="80">
        <f>SUMIFS(tb_recebiveis[valor],tb_recebiveis[Data],"&gt;=" &amp; cel_semana4,tb_recebiveis[Data],"&lt;=" &amp; cel_data_fim,tb_recebiveis[Categoria],B13)</f>
        <v>-60</v>
      </c>
      <c r="N13" s="12">
        <f t="shared" si="8"/>
        <v>85</v>
      </c>
      <c r="O13" s="11">
        <f>cel_necessidades_fixas_estetica</f>
        <v>200</v>
      </c>
      <c r="P13" s="70">
        <f t="shared" si="10"/>
        <v>-115</v>
      </c>
      <c r="Q13" s="12">
        <f t="shared" si="9"/>
        <v>85</v>
      </c>
    </row>
    <row r="14" spans="1:17" ht="15.75" thickBot="1" x14ac:dyDescent="0.3">
      <c r="A14" s="3"/>
      <c r="B14" s="22" t="s">
        <v>34</v>
      </c>
      <c r="C14" s="13">
        <f t="shared" si="0"/>
        <v>163.33333333333334</v>
      </c>
      <c r="D14" s="14">
        <f>SUMIFS(tb_recebiveis[valor],tb_recebiveis[Data],"&gt;=" &amp; cel_semana1,tb_recebiveis[Data],"&lt;" &amp; cel_semana2,tb_recebiveis[Categoria],B14)</f>
        <v>0</v>
      </c>
      <c r="E14" s="15">
        <f t="shared" si="5"/>
        <v>163.33333333333334</v>
      </c>
      <c r="F14" s="13">
        <f t="shared" si="1"/>
        <v>217.7777777777778</v>
      </c>
      <c r="G14" s="14">
        <f>SUMIFS(tb_recebiveis[valor],tb_recebiveis[Data],"&gt;=" &amp; cel_semana2,tb_recebiveis[Data],"&lt;" &amp; cel_semana3,tb_recebiveis[Categoria],B14)</f>
        <v>-264.16000000000003</v>
      </c>
      <c r="H14" s="15">
        <f t="shared" si="6"/>
        <v>-46.382222222222225</v>
      </c>
      <c r="I14" s="13">
        <f t="shared" si="2"/>
        <v>194.5866666666667</v>
      </c>
      <c r="J14" s="14">
        <f>SUMIFS(tb_recebiveis[valor],tb_recebiveis[Data],"&gt;=" &amp; cel_semana3,tb_recebiveis[Data],"&lt;" &amp; cel_semana4,tb_recebiveis[Categoria],B14)</f>
        <v>-188.99</v>
      </c>
      <c r="K14" s="15">
        <f t="shared" si="7"/>
        <v>5.5966666666666924</v>
      </c>
      <c r="L14" s="13">
        <f t="shared" si="3"/>
        <v>246.85000000000002</v>
      </c>
      <c r="M14" s="14">
        <f>SUMIFS(tb_recebiveis[valor],tb_recebiveis[Data],"&gt;=" &amp; cel_semana4,tb_recebiveis[Data],"&lt;=" &amp; cel_data_fim,tb_recebiveis[Categoria],B14)</f>
        <v>-240.25</v>
      </c>
      <c r="N14" s="15">
        <f t="shared" si="8"/>
        <v>6.6000000000000227</v>
      </c>
      <c r="O14" s="13">
        <f>cel_necessidades_fixas_combustivel</f>
        <v>700</v>
      </c>
      <c r="P14" s="14">
        <f t="shared" si="10"/>
        <v>-693.40000000000009</v>
      </c>
      <c r="Q14" s="15">
        <f t="shared" si="9"/>
        <v>6.5999999999999091</v>
      </c>
    </row>
    <row r="15" spans="1:17" ht="15.75" thickBot="1" x14ac:dyDescent="0.3">
      <c r="A15" s="3"/>
      <c r="B15" s="20" t="s">
        <v>252</v>
      </c>
      <c r="C15" s="16">
        <f t="shared" ref="C15:N15" si="11">SUM(C4:C14)</f>
        <v>3638.8216666666672</v>
      </c>
      <c r="D15" s="16">
        <f t="shared" si="11"/>
        <v>-3059.5800000000004</v>
      </c>
      <c r="E15" s="16">
        <f t="shared" si="11"/>
        <v>579.24166666666724</v>
      </c>
      <c r="F15" s="16">
        <f t="shared" si="11"/>
        <v>3831.9022222222225</v>
      </c>
      <c r="G15" s="16">
        <f t="shared" si="11"/>
        <v>2678.45</v>
      </c>
      <c r="H15" s="16">
        <f t="shared" si="11"/>
        <v>6510.3522222222227</v>
      </c>
      <c r="I15" s="16">
        <f t="shared" si="11"/>
        <v>7087.0783333333347</v>
      </c>
      <c r="J15" s="16">
        <f t="shared" si="11"/>
        <v>-2302.5699999999997</v>
      </c>
      <c r="K15" s="16">
        <f t="shared" si="11"/>
        <v>4784.5083333333332</v>
      </c>
      <c r="L15" s="16">
        <f t="shared" si="11"/>
        <v>12911.250000000002</v>
      </c>
      <c r="M15" s="16">
        <f t="shared" si="11"/>
        <v>-4111.79</v>
      </c>
      <c r="N15" s="16">
        <f t="shared" si="11"/>
        <v>8799.4600000000028</v>
      </c>
      <c r="O15" s="16">
        <f>SUM(O4:O14)</f>
        <v>15594.95</v>
      </c>
      <c r="P15" s="16">
        <f t="shared" ref="P15:Q15" si="12">SUM(P4:P14)</f>
        <v>-6795.49</v>
      </c>
      <c r="Q15" s="16">
        <f t="shared" si="12"/>
        <v>8799.4600000000009</v>
      </c>
    </row>
    <row r="16" spans="1:17" ht="15.75" thickTop="1" x14ac:dyDescent="0.25"/>
    <row r="20" spans="7:7" x14ac:dyDescent="0.25">
      <c r="G20" s="2"/>
    </row>
  </sheetData>
  <sheetProtection sheet="1" selectLockedCells="1" selectUnlockedCells="1"/>
  <mergeCells count="7">
    <mergeCell ref="B1:Q1"/>
    <mergeCell ref="C2:E2"/>
    <mergeCell ref="F2:H2"/>
    <mergeCell ref="I2:K2"/>
    <mergeCell ref="L2:N2"/>
    <mergeCell ref="O2:Q2"/>
    <mergeCell ref="B2:B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D525-2450-4734-8545-7A13565F9A76}">
  <sheetPr>
    <tabColor rgb="FFFFFF00"/>
  </sheetPr>
  <dimension ref="B1:G835"/>
  <sheetViews>
    <sheetView showGridLines="0" tabSelected="1" zoomScaleNormal="100" workbookViewId="0">
      <pane ySplit="4" topLeftCell="A86" activePane="bottomLeft" state="frozen"/>
      <selection pane="bottomLeft" activeCell="B835" sqref="B835"/>
    </sheetView>
  </sheetViews>
  <sheetFormatPr defaultRowHeight="15" x14ac:dyDescent="0.25"/>
  <cols>
    <col min="1" max="1" width="2" customWidth="1"/>
    <col min="2" max="2" width="20" customWidth="1"/>
    <col min="3" max="3" width="44.42578125" bestFit="1" customWidth="1"/>
    <col min="4" max="4" width="32.7109375" customWidth="1"/>
    <col min="5" max="5" width="37.28515625" bestFit="1" customWidth="1"/>
    <col min="6" max="6" width="12.5703125" bestFit="1" customWidth="1"/>
    <col min="7" max="7" width="17.28515625" bestFit="1" customWidth="1"/>
  </cols>
  <sheetData>
    <row r="1" spans="2:7" x14ac:dyDescent="0.25">
      <c r="B1" s="71" t="s">
        <v>90</v>
      </c>
      <c r="C1" s="71"/>
      <c r="E1" s="23" t="str">
        <f>_xlfn.CONCAT("Atrasados (antes de ",TEXT(Definições!D2,"dd/mm/aa"),"):")</f>
        <v>Atrasados (antes de 20/04/26):</v>
      </c>
      <c r="F1" s="24">
        <f>cel_recebiveis_atrasados</f>
        <v>0</v>
      </c>
    </row>
    <row r="2" spans="2:7" x14ac:dyDescent="0.25">
      <c r="B2" s="71"/>
      <c r="C2" s="71"/>
      <c r="E2" s="23" t="s">
        <v>91</v>
      </c>
      <c r="F2" s="25">
        <f>cel_recebiveis_atual_concreto+cel_recebiveis_atual_planejado</f>
        <v>0</v>
      </c>
    </row>
    <row r="3" spans="2:7" x14ac:dyDescent="0.25">
      <c r="B3" s="71"/>
      <c r="C3" s="71"/>
      <c r="D3" s="26"/>
      <c r="E3" s="23" t="e">
        <f>_xlfn.CONCAT("Futuros (depois de ",TEXT(Definições!#REF!,"dd/mm/aa"),"):")</f>
        <v>#REF!</v>
      </c>
      <c r="F3" s="24">
        <f>cel_recebiveis_futuros</f>
        <v>0</v>
      </c>
    </row>
    <row r="4" spans="2:7" x14ac:dyDescent="0.25"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4" t="s">
        <v>97</v>
      </c>
    </row>
    <row r="5" spans="2:7" x14ac:dyDescent="0.25">
      <c r="B5" s="5">
        <v>44645</v>
      </c>
      <c r="C5" s="6" t="s">
        <v>98</v>
      </c>
      <c r="D5" s="6" t="s">
        <v>99</v>
      </c>
      <c r="E5" s="6" t="s">
        <v>100</v>
      </c>
      <c r="F5" s="5">
        <v>44645</v>
      </c>
      <c r="G5" s="7">
        <v>90000</v>
      </c>
    </row>
    <row r="6" spans="2:7" x14ac:dyDescent="0.25">
      <c r="B6" s="5">
        <v>44676</v>
      </c>
      <c r="C6" s="6" t="s">
        <v>101</v>
      </c>
      <c r="D6" s="6" t="s">
        <v>99</v>
      </c>
      <c r="E6" s="6" t="s">
        <v>100</v>
      </c>
      <c r="F6" s="5">
        <v>44676</v>
      </c>
      <c r="G6" s="7">
        <v>-1863.6</v>
      </c>
    </row>
    <row r="7" spans="2:7" x14ac:dyDescent="0.25">
      <c r="B7" s="5">
        <v>44706</v>
      </c>
      <c r="C7" s="6" t="s">
        <v>102</v>
      </c>
      <c r="D7" s="6" t="s">
        <v>99</v>
      </c>
      <c r="E7" s="6" t="s">
        <v>100</v>
      </c>
      <c r="F7" s="5">
        <v>44706</v>
      </c>
      <c r="G7" s="7">
        <v>-1863.6</v>
      </c>
    </row>
    <row r="8" spans="2:7" x14ac:dyDescent="0.25">
      <c r="B8" s="5">
        <v>44737</v>
      </c>
      <c r="C8" s="6" t="s">
        <v>103</v>
      </c>
      <c r="D8" s="6" t="s">
        <v>99</v>
      </c>
      <c r="E8" s="6" t="s">
        <v>100</v>
      </c>
      <c r="F8" s="5">
        <v>44737</v>
      </c>
      <c r="G8" s="7">
        <v>-1863.6</v>
      </c>
    </row>
    <row r="9" spans="2:7" x14ac:dyDescent="0.25">
      <c r="B9" s="5">
        <v>44767</v>
      </c>
      <c r="C9" s="6" t="s">
        <v>104</v>
      </c>
      <c r="D9" s="6" t="s">
        <v>99</v>
      </c>
      <c r="E9" s="6" t="s">
        <v>100</v>
      </c>
      <c r="F9" s="5">
        <v>44767</v>
      </c>
      <c r="G9" s="7">
        <v>-1863.6</v>
      </c>
    </row>
    <row r="10" spans="2:7" x14ac:dyDescent="0.25">
      <c r="B10" s="5">
        <v>44798</v>
      </c>
      <c r="C10" s="6" t="s">
        <v>105</v>
      </c>
      <c r="D10" s="6" t="s">
        <v>99</v>
      </c>
      <c r="E10" s="6" t="s">
        <v>100</v>
      </c>
      <c r="F10" s="5">
        <v>44798</v>
      </c>
      <c r="G10" s="7">
        <v>-1863.6</v>
      </c>
    </row>
    <row r="11" spans="2:7" x14ac:dyDescent="0.25">
      <c r="B11" s="5">
        <v>44829</v>
      </c>
      <c r="C11" s="6" t="s">
        <v>106</v>
      </c>
      <c r="D11" s="6" t="s">
        <v>99</v>
      </c>
      <c r="E11" s="6" t="s">
        <v>100</v>
      </c>
      <c r="F11" s="5">
        <v>44829</v>
      </c>
      <c r="G11" s="7">
        <v>-1863.6</v>
      </c>
    </row>
    <row r="12" spans="2:7" x14ac:dyDescent="0.25">
      <c r="B12" s="5">
        <v>44859</v>
      </c>
      <c r="C12" s="6" t="s">
        <v>107</v>
      </c>
      <c r="D12" s="6" t="s">
        <v>99</v>
      </c>
      <c r="E12" s="6" t="s">
        <v>100</v>
      </c>
      <c r="F12" s="5">
        <v>44859</v>
      </c>
      <c r="G12" s="7">
        <v>-1863.6</v>
      </c>
    </row>
    <row r="13" spans="2:7" x14ac:dyDescent="0.25">
      <c r="B13" s="5">
        <v>44890</v>
      </c>
      <c r="C13" s="6" t="s">
        <v>108</v>
      </c>
      <c r="D13" s="6" t="s">
        <v>99</v>
      </c>
      <c r="E13" s="6" t="s">
        <v>100</v>
      </c>
      <c r="F13" s="5">
        <v>44890</v>
      </c>
      <c r="G13" s="7">
        <v>-1863.6</v>
      </c>
    </row>
    <row r="14" spans="2:7" x14ac:dyDescent="0.25">
      <c r="B14" s="5">
        <v>44920</v>
      </c>
      <c r="C14" s="6" t="s">
        <v>109</v>
      </c>
      <c r="D14" s="6" t="s">
        <v>99</v>
      </c>
      <c r="E14" s="6" t="s">
        <v>100</v>
      </c>
      <c r="F14" s="5">
        <v>44920</v>
      </c>
      <c r="G14" s="7">
        <v>-1863.6</v>
      </c>
    </row>
    <row r="15" spans="2:7" x14ac:dyDescent="0.25">
      <c r="B15" s="5">
        <v>44951</v>
      </c>
      <c r="C15" s="6" t="s">
        <v>110</v>
      </c>
      <c r="D15" s="6" t="s">
        <v>99</v>
      </c>
      <c r="E15" s="6" t="s">
        <v>100</v>
      </c>
      <c r="F15" s="5">
        <v>44951</v>
      </c>
      <c r="G15" s="7">
        <v>-1863.6</v>
      </c>
    </row>
    <row r="16" spans="2:7" x14ac:dyDescent="0.25">
      <c r="B16" s="5">
        <v>44982</v>
      </c>
      <c r="C16" s="6" t="s">
        <v>111</v>
      </c>
      <c r="D16" s="6" t="s">
        <v>99</v>
      </c>
      <c r="E16" s="6" t="s">
        <v>100</v>
      </c>
      <c r="F16" s="5">
        <v>44982</v>
      </c>
      <c r="G16" s="7">
        <v>-1863.6</v>
      </c>
    </row>
    <row r="17" spans="2:7" x14ac:dyDescent="0.25">
      <c r="B17" s="5">
        <v>45010</v>
      </c>
      <c r="C17" s="6" t="s">
        <v>112</v>
      </c>
      <c r="D17" s="6" t="s">
        <v>99</v>
      </c>
      <c r="E17" s="6" t="s">
        <v>100</v>
      </c>
      <c r="F17" s="5">
        <v>45010</v>
      </c>
      <c r="G17" s="7">
        <v>-1863.6</v>
      </c>
    </row>
    <row r="18" spans="2:7" x14ac:dyDescent="0.25">
      <c r="B18" s="5">
        <v>45041</v>
      </c>
      <c r="C18" s="6" t="s">
        <v>113</v>
      </c>
      <c r="D18" s="6" t="s">
        <v>99</v>
      </c>
      <c r="E18" s="6" t="s">
        <v>100</v>
      </c>
      <c r="F18" s="5">
        <v>45041</v>
      </c>
      <c r="G18" s="7">
        <v>-1863.6</v>
      </c>
    </row>
    <row r="19" spans="2:7" x14ac:dyDescent="0.25">
      <c r="B19" s="5">
        <v>45071</v>
      </c>
      <c r="C19" s="6" t="s">
        <v>114</v>
      </c>
      <c r="D19" s="6" t="s">
        <v>99</v>
      </c>
      <c r="E19" s="6" t="s">
        <v>100</v>
      </c>
      <c r="F19" s="5">
        <v>45071</v>
      </c>
      <c r="G19" s="7">
        <v>-1863.6</v>
      </c>
    </row>
    <row r="20" spans="2:7" x14ac:dyDescent="0.25">
      <c r="B20" s="5">
        <v>45102</v>
      </c>
      <c r="C20" s="6" t="s">
        <v>115</v>
      </c>
      <c r="D20" s="6" t="s">
        <v>99</v>
      </c>
      <c r="E20" s="6" t="s">
        <v>100</v>
      </c>
      <c r="F20" s="5">
        <v>45102</v>
      </c>
      <c r="G20" s="7">
        <v>-1863.6</v>
      </c>
    </row>
    <row r="21" spans="2:7" x14ac:dyDescent="0.25">
      <c r="B21" s="5">
        <v>45132</v>
      </c>
      <c r="C21" s="6" t="s">
        <v>116</v>
      </c>
      <c r="D21" s="6" t="s">
        <v>99</v>
      </c>
      <c r="E21" s="6" t="s">
        <v>100</v>
      </c>
      <c r="F21" s="5">
        <v>45132</v>
      </c>
      <c r="G21" s="7">
        <v>-1863.6</v>
      </c>
    </row>
    <row r="22" spans="2:7" x14ac:dyDescent="0.25">
      <c r="B22" s="5">
        <v>45163</v>
      </c>
      <c r="C22" s="6" t="s">
        <v>117</v>
      </c>
      <c r="D22" s="6" t="s">
        <v>99</v>
      </c>
      <c r="E22" s="6" t="s">
        <v>100</v>
      </c>
      <c r="F22" s="5">
        <v>45163</v>
      </c>
      <c r="G22" s="7">
        <v>-1863.6</v>
      </c>
    </row>
    <row r="23" spans="2:7" x14ac:dyDescent="0.25">
      <c r="B23" s="5">
        <v>45194</v>
      </c>
      <c r="C23" s="6" t="s">
        <v>118</v>
      </c>
      <c r="D23" s="6" t="s">
        <v>99</v>
      </c>
      <c r="E23" s="6" t="s">
        <v>100</v>
      </c>
      <c r="F23" s="5">
        <v>45194</v>
      </c>
      <c r="G23" s="7">
        <v>-1863.6</v>
      </c>
    </row>
    <row r="24" spans="2:7" x14ac:dyDescent="0.25">
      <c r="B24" s="5">
        <v>45224</v>
      </c>
      <c r="C24" s="6" t="s">
        <v>119</v>
      </c>
      <c r="D24" s="6" t="s">
        <v>99</v>
      </c>
      <c r="E24" s="6" t="s">
        <v>100</v>
      </c>
      <c r="F24" s="5">
        <v>45224</v>
      </c>
      <c r="G24" s="7">
        <v>-1863.6</v>
      </c>
    </row>
    <row r="25" spans="2:7" x14ac:dyDescent="0.25">
      <c r="B25" s="5">
        <v>45255</v>
      </c>
      <c r="C25" s="6" t="s">
        <v>120</v>
      </c>
      <c r="D25" s="6" t="s">
        <v>99</v>
      </c>
      <c r="E25" s="6" t="s">
        <v>100</v>
      </c>
      <c r="F25" s="5">
        <v>45255</v>
      </c>
      <c r="G25" s="7">
        <v>-1863.6</v>
      </c>
    </row>
    <row r="26" spans="2:7" x14ac:dyDescent="0.25">
      <c r="B26" s="5">
        <v>45285</v>
      </c>
      <c r="C26" s="6" t="s">
        <v>121</v>
      </c>
      <c r="D26" s="6" t="s">
        <v>99</v>
      </c>
      <c r="E26" s="6" t="s">
        <v>100</v>
      </c>
      <c r="F26" s="5">
        <v>45285</v>
      </c>
      <c r="G26" s="7">
        <v>-1863.6</v>
      </c>
    </row>
    <row r="27" spans="2:7" x14ac:dyDescent="0.25">
      <c r="B27" s="5">
        <v>45316</v>
      </c>
      <c r="C27" s="6" t="s">
        <v>122</v>
      </c>
      <c r="D27" s="6" t="s">
        <v>99</v>
      </c>
      <c r="E27" s="6" t="s">
        <v>100</v>
      </c>
      <c r="F27" s="5">
        <v>45316</v>
      </c>
      <c r="G27" s="7">
        <v>-1863.6</v>
      </c>
    </row>
    <row r="28" spans="2:7" x14ac:dyDescent="0.25">
      <c r="B28" s="5">
        <v>45347</v>
      </c>
      <c r="C28" s="6" t="s">
        <v>123</v>
      </c>
      <c r="D28" s="6" t="s">
        <v>99</v>
      </c>
      <c r="E28" s="6" t="s">
        <v>100</v>
      </c>
      <c r="F28" s="5">
        <v>45347</v>
      </c>
      <c r="G28" s="7">
        <v>-1863.6</v>
      </c>
    </row>
    <row r="29" spans="2:7" x14ac:dyDescent="0.25">
      <c r="B29" s="5">
        <v>45376</v>
      </c>
      <c r="C29" s="6" t="s">
        <v>124</v>
      </c>
      <c r="D29" s="6" t="s">
        <v>99</v>
      </c>
      <c r="E29" s="6" t="s">
        <v>100</v>
      </c>
      <c r="F29" s="5">
        <v>45376</v>
      </c>
      <c r="G29" s="7">
        <v>-1863.6</v>
      </c>
    </row>
    <row r="30" spans="2:7" x14ac:dyDescent="0.25">
      <c r="B30" s="5">
        <v>45407</v>
      </c>
      <c r="C30" s="6" t="s">
        <v>125</v>
      </c>
      <c r="D30" s="6" t="s">
        <v>99</v>
      </c>
      <c r="E30" s="6" t="s">
        <v>100</v>
      </c>
      <c r="F30" s="5">
        <v>45407</v>
      </c>
      <c r="G30" s="7">
        <v>-1863.6</v>
      </c>
    </row>
    <row r="31" spans="2:7" x14ac:dyDescent="0.25">
      <c r="B31" s="5">
        <v>45437</v>
      </c>
      <c r="C31" s="6" t="s">
        <v>126</v>
      </c>
      <c r="D31" s="6" t="s">
        <v>99</v>
      </c>
      <c r="E31" s="6" t="s">
        <v>100</v>
      </c>
      <c r="F31" s="5">
        <v>45437</v>
      </c>
      <c r="G31" s="7">
        <v>-1863.6</v>
      </c>
    </row>
    <row r="32" spans="2:7" x14ac:dyDescent="0.25">
      <c r="B32" s="5">
        <v>45468</v>
      </c>
      <c r="C32" s="6" t="s">
        <v>127</v>
      </c>
      <c r="D32" s="6" t="s">
        <v>99</v>
      </c>
      <c r="E32" s="6" t="s">
        <v>100</v>
      </c>
      <c r="F32" s="5">
        <v>45468</v>
      </c>
      <c r="G32" s="7">
        <v>-1863.6</v>
      </c>
    </row>
    <row r="33" spans="2:7" x14ac:dyDescent="0.25">
      <c r="B33" s="5">
        <v>45498</v>
      </c>
      <c r="C33" s="6" t="s">
        <v>128</v>
      </c>
      <c r="D33" s="6" t="s">
        <v>99</v>
      </c>
      <c r="E33" s="6" t="s">
        <v>100</v>
      </c>
      <c r="F33" s="5">
        <v>45498</v>
      </c>
      <c r="G33" s="7">
        <v>-1863.6</v>
      </c>
    </row>
    <row r="34" spans="2:7" x14ac:dyDescent="0.25">
      <c r="B34" s="5">
        <v>45529</v>
      </c>
      <c r="C34" s="6" t="s">
        <v>129</v>
      </c>
      <c r="D34" s="6" t="s">
        <v>99</v>
      </c>
      <c r="E34" s="6" t="s">
        <v>100</v>
      </c>
      <c r="F34" s="5">
        <v>45529</v>
      </c>
      <c r="G34" s="7">
        <v>-1863.6</v>
      </c>
    </row>
    <row r="35" spans="2:7" x14ac:dyDescent="0.25">
      <c r="B35" s="5">
        <v>45560</v>
      </c>
      <c r="C35" s="6" t="s">
        <v>130</v>
      </c>
      <c r="D35" s="6" t="s">
        <v>99</v>
      </c>
      <c r="E35" s="6" t="s">
        <v>100</v>
      </c>
      <c r="F35" s="5">
        <v>45560</v>
      </c>
      <c r="G35" s="7">
        <v>-1863.6</v>
      </c>
    </row>
    <row r="36" spans="2:7" x14ac:dyDescent="0.25">
      <c r="B36" s="5">
        <v>45590</v>
      </c>
      <c r="C36" s="6" t="s">
        <v>131</v>
      </c>
      <c r="D36" s="6" t="s">
        <v>99</v>
      </c>
      <c r="E36" s="6" t="s">
        <v>100</v>
      </c>
      <c r="F36" s="5">
        <v>45590</v>
      </c>
      <c r="G36" s="7">
        <v>-1863.6</v>
      </c>
    </row>
    <row r="37" spans="2:7" x14ac:dyDescent="0.25">
      <c r="B37" s="5">
        <v>45621</v>
      </c>
      <c r="C37" s="6" t="s">
        <v>132</v>
      </c>
      <c r="D37" s="6" t="s">
        <v>99</v>
      </c>
      <c r="E37" s="6" t="s">
        <v>100</v>
      </c>
      <c r="F37" s="5">
        <v>45621</v>
      </c>
      <c r="G37" s="7">
        <v>-1863.6</v>
      </c>
    </row>
    <row r="38" spans="2:7" x14ac:dyDescent="0.25">
      <c r="B38" s="5">
        <v>45651</v>
      </c>
      <c r="C38" s="6" t="s">
        <v>133</v>
      </c>
      <c r="D38" s="6" t="s">
        <v>99</v>
      </c>
      <c r="E38" s="6" t="s">
        <v>100</v>
      </c>
      <c r="F38" s="5">
        <v>45651</v>
      </c>
      <c r="G38" s="7">
        <v>-1863.6</v>
      </c>
    </row>
    <row r="39" spans="2:7" x14ac:dyDescent="0.25">
      <c r="B39" s="5">
        <v>45669</v>
      </c>
      <c r="C39" s="6" t="s">
        <v>134</v>
      </c>
      <c r="D39" s="5" t="s">
        <v>87</v>
      </c>
      <c r="E39" s="6" t="s">
        <v>135</v>
      </c>
      <c r="F39" s="5">
        <v>45669</v>
      </c>
      <c r="G39" s="7">
        <v>1904.7</v>
      </c>
    </row>
    <row r="40" spans="2:7" x14ac:dyDescent="0.25">
      <c r="B40" s="5">
        <v>45682</v>
      </c>
      <c r="C40" s="6" t="s">
        <v>136</v>
      </c>
      <c r="D40" s="6" t="s">
        <v>99</v>
      </c>
      <c r="E40" s="6" t="s">
        <v>100</v>
      </c>
      <c r="F40" s="5">
        <v>45682</v>
      </c>
      <c r="G40" s="7">
        <v>-1863.6</v>
      </c>
    </row>
    <row r="41" spans="2:7" x14ac:dyDescent="0.25">
      <c r="B41" s="5">
        <v>45700</v>
      </c>
      <c r="C41" s="6" t="s">
        <v>134</v>
      </c>
      <c r="D41" s="5" t="s">
        <v>87</v>
      </c>
      <c r="E41" s="6" t="s">
        <v>135</v>
      </c>
      <c r="F41" s="5">
        <v>45700</v>
      </c>
      <c r="G41" s="7">
        <v>1904.7</v>
      </c>
    </row>
    <row r="42" spans="2:7" x14ac:dyDescent="0.25">
      <c r="B42" s="5">
        <v>45713</v>
      </c>
      <c r="C42" s="6" t="s">
        <v>137</v>
      </c>
      <c r="D42" s="6" t="s">
        <v>99</v>
      </c>
      <c r="E42" s="6" t="s">
        <v>100</v>
      </c>
      <c r="F42" s="5">
        <v>45713</v>
      </c>
      <c r="G42" s="7">
        <v>-1863.6</v>
      </c>
    </row>
    <row r="43" spans="2:7" x14ac:dyDescent="0.25">
      <c r="B43" s="5">
        <v>45716</v>
      </c>
      <c r="C43" s="5" t="s">
        <v>138</v>
      </c>
      <c r="D43" s="5" t="s">
        <v>89</v>
      </c>
      <c r="E43" s="5" t="s">
        <v>100</v>
      </c>
      <c r="F43" s="5"/>
      <c r="G43" s="7">
        <v>-510.51</v>
      </c>
    </row>
    <row r="44" spans="2:7" x14ac:dyDescent="0.25">
      <c r="B44" s="5">
        <v>45716</v>
      </c>
      <c r="C44" s="6" t="s">
        <v>141</v>
      </c>
      <c r="D44" s="5" t="s">
        <v>89</v>
      </c>
      <c r="E44" s="6" t="s">
        <v>135</v>
      </c>
      <c r="F44" s="5"/>
      <c r="G44" s="7">
        <v>170.17</v>
      </c>
    </row>
    <row r="45" spans="2:7" x14ac:dyDescent="0.25">
      <c r="B45" s="5">
        <v>45716</v>
      </c>
      <c r="C45" s="6" t="s">
        <v>142</v>
      </c>
      <c r="D45" s="5" t="s">
        <v>89</v>
      </c>
      <c r="E45" s="6" t="s">
        <v>135</v>
      </c>
      <c r="F45" s="5"/>
      <c r="G45" s="7">
        <v>170.17</v>
      </c>
    </row>
    <row r="46" spans="2:7" x14ac:dyDescent="0.25">
      <c r="B46" s="5">
        <v>45716</v>
      </c>
      <c r="C46" s="6" t="s">
        <v>144</v>
      </c>
      <c r="D46" s="6" t="s">
        <v>89</v>
      </c>
      <c r="E46" s="6" t="s">
        <v>135</v>
      </c>
      <c r="F46" s="5"/>
      <c r="G46" s="7">
        <v>170.17</v>
      </c>
    </row>
    <row r="47" spans="2:7" x14ac:dyDescent="0.25">
      <c r="B47" s="5">
        <v>45716</v>
      </c>
      <c r="C47" s="5" t="s">
        <v>139</v>
      </c>
      <c r="D47" s="5" t="s">
        <v>140</v>
      </c>
      <c r="E47" s="5" t="s">
        <v>100</v>
      </c>
      <c r="F47" s="5"/>
      <c r="G47" s="7">
        <v>-1232.5899999999999</v>
      </c>
    </row>
    <row r="48" spans="2:7" x14ac:dyDescent="0.25">
      <c r="B48" s="5">
        <v>45723</v>
      </c>
      <c r="C48" s="6" t="s">
        <v>145</v>
      </c>
      <c r="D48" s="5" t="s">
        <v>89</v>
      </c>
      <c r="E48" s="6" t="s">
        <v>135</v>
      </c>
      <c r="F48" s="5"/>
      <c r="G48" s="7">
        <v>170.17</v>
      </c>
    </row>
    <row r="49" spans="2:7" x14ac:dyDescent="0.25">
      <c r="B49" s="5">
        <v>45723</v>
      </c>
      <c r="C49" s="6" t="s">
        <v>146</v>
      </c>
      <c r="D49" s="5" t="s">
        <v>89</v>
      </c>
      <c r="E49" s="6" t="s">
        <v>135</v>
      </c>
      <c r="F49" s="5"/>
      <c r="G49" s="7">
        <v>170.17</v>
      </c>
    </row>
    <row r="50" spans="2:7" x14ac:dyDescent="0.25">
      <c r="B50" s="5">
        <v>45723</v>
      </c>
      <c r="C50" s="6" t="s">
        <v>148</v>
      </c>
      <c r="D50" s="6" t="s">
        <v>89</v>
      </c>
      <c r="E50" s="6" t="s">
        <v>135</v>
      </c>
      <c r="F50" s="5"/>
      <c r="G50" s="7">
        <v>170.17</v>
      </c>
    </row>
    <row r="51" spans="2:7" x14ac:dyDescent="0.25">
      <c r="B51" s="5">
        <v>45723</v>
      </c>
      <c r="C51" s="5" t="s">
        <v>150</v>
      </c>
      <c r="D51" s="5" t="s">
        <v>89</v>
      </c>
      <c r="E51" s="5" t="s">
        <v>100</v>
      </c>
      <c r="F51" s="5"/>
      <c r="G51" s="7">
        <v>-510.51</v>
      </c>
    </row>
    <row r="52" spans="2:7" x14ac:dyDescent="0.25">
      <c r="B52" s="5">
        <v>45728</v>
      </c>
      <c r="C52" s="6" t="s">
        <v>134</v>
      </c>
      <c r="D52" s="5" t="s">
        <v>87</v>
      </c>
      <c r="E52" s="6" t="s">
        <v>135</v>
      </c>
      <c r="F52" s="5">
        <v>45728</v>
      </c>
      <c r="G52" s="7">
        <v>1904.7</v>
      </c>
    </row>
    <row r="53" spans="2:7" x14ac:dyDescent="0.25">
      <c r="B53" s="5">
        <v>45741</v>
      </c>
      <c r="C53" s="6" t="s">
        <v>143</v>
      </c>
      <c r="D53" s="6" t="s">
        <v>99</v>
      </c>
      <c r="E53" s="6" t="s">
        <v>100</v>
      </c>
      <c r="F53" s="5">
        <v>45741</v>
      </c>
      <c r="G53" s="7">
        <v>-1863.6</v>
      </c>
    </row>
    <row r="54" spans="2:7" x14ac:dyDescent="0.25">
      <c r="B54" s="5">
        <v>45754</v>
      </c>
      <c r="C54" s="6" t="s">
        <v>151</v>
      </c>
      <c r="D54" s="5" t="s">
        <v>89</v>
      </c>
      <c r="E54" s="6" t="s">
        <v>135</v>
      </c>
      <c r="F54" s="5"/>
      <c r="G54" s="7">
        <v>170.17</v>
      </c>
    </row>
    <row r="55" spans="2:7" x14ac:dyDescent="0.25">
      <c r="B55" s="5">
        <v>45754</v>
      </c>
      <c r="C55" s="6" t="s">
        <v>154</v>
      </c>
      <c r="D55" s="5" t="s">
        <v>89</v>
      </c>
      <c r="E55" s="6" t="s">
        <v>135</v>
      </c>
      <c r="F55" s="5"/>
      <c r="G55" s="7">
        <v>170.17</v>
      </c>
    </row>
    <row r="56" spans="2:7" x14ac:dyDescent="0.25">
      <c r="B56" s="5">
        <v>45754</v>
      </c>
      <c r="C56" s="6" t="s">
        <v>155</v>
      </c>
      <c r="D56" s="6" t="s">
        <v>89</v>
      </c>
      <c r="E56" s="6" t="s">
        <v>135</v>
      </c>
      <c r="F56" s="5"/>
      <c r="G56" s="7">
        <v>170.17</v>
      </c>
    </row>
    <row r="57" spans="2:7" x14ac:dyDescent="0.25">
      <c r="B57" s="5">
        <v>45759</v>
      </c>
      <c r="C57" s="6" t="s">
        <v>134</v>
      </c>
      <c r="D57" s="5" t="s">
        <v>87</v>
      </c>
      <c r="E57" s="6" t="s">
        <v>135</v>
      </c>
      <c r="F57" s="5">
        <v>45759</v>
      </c>
      <c r="G57" s="7">
        <v>1904.7</v>
      </c>
    </row>
    <row r="58" spans="2:7" x14ac:dyDescent="0.25">
      <c r="B58" s="5">
        <v>45772</v>
      </c>
      <c r="C58" s="6" t="s">
        <v>147</v>
      </c>
      <c r="D58" s="6" t="s">
        <v>99</v>
      </c>
      <c r="E58" s="6" t="s">
        <v>100</v>
      </c>
      <c r="F58" s="5">
        <v>45772</v>
      </c>
      <c r="G58" s="7">
        <v>-1863.6</v>
      </c>
    </row>
    <row r="59" spans="2:7" x14ac:dyDescent="0.25">
      <c r="B59" s="5">
        <v>45775</v>
      </c>
      <c r="C59" s="6" t="s">
        <v>156</v>
      </c>
      <c r="D59" s="5" t="s">
        <v>89</v>
      </c>
      <c r="E59" s="5" t="s">
        <v>100</v>
      </c>
      <c r="F59" s="5"/>
      <c r="G59" s="7">
        <v>-510.51</v>
      </c>
    </row>
    <row r="60" spans="2:7" x14ac:dyDescent="0.25">
      <c r="B60" s="5">
        <v>45780</v>
      </c>
      <c r="C60" s="5" t="s">
        <v>149</v>
      </c>
      <c r="D60" s="5" t="s">
        <v>87</v>
      </c>
      <c r="E60" s="5" t="s">
        <v>135</v>
      </c>
      <c r="F60" s="5"/>
      <c r="G60" s="7">
        <v>1000</v>
      </c>
    </row>
    <row r="61" spans="2:7" x14ac:dyDescent="0.25">
      <c r="B61" s="5">
        <v>45784</v>
      </c>
      <c r="C61" s="6" t="s">
        <v>158</v>
      </c>
      <c r="D61" s="5" t="s">
        <v>89</v>
      </c>
      <c r="E61" s="6" t="s">
        <v>135</v>
      </c>
      <c r="F61" s="5"/>
      <c r="G61" s="7">
        <v>170.17</v>
      </c>
    </row>
    <row r="62" spans="2:7" x14ac:dyDescent="0.25">
      <c r="B62" s="5">
        <v>45784</v>
      </c>
      <c r="C62" s="6" t="s">
        <v>159</v>
      </c>
      <c r="D62" s="5" t="s">
        <v>89</v>
      </c>
      <c r="E62" s="6" t="s">
        <v>135</v>
      </c>
      <c r="F62" s="5"/>
      <c r="G62" s="7">
        <v>170.17</v>
      </c>
    </row>
    <row r="63" spans="2:7" x14ac:dyDescent="0.25">
      <c r="B63" s="5">
        <v>45784</v>
      </c>
      <c r="C63" s="6" t="s">
        <v>160</v>
      </c>
      <c r="D63" s="6" t="s">
        <v>89</v>
      </c>
      <c r="E63" s="6" t="s">
        <v>135</v>
      </c>
      <c r="F63" s="5"/>
      <c r="G63" s="7">
        <v>170.17</v>
      </c>
    </row>
    <row r="64" spans="2:7" x14ac:dyDescent="0.25">
      <c r="B64" s="5">
        <v>45789</v>
      </c>
      <c r="C64" s="6" t="s">
        <v>134</v>
      </c>
      <c r="D64" s="5" t="s">
        <v>87</v>
      </c>
      <c r="E64" s="6" t="s">
        <v>135</v>
      </c>
      <c r="F64" s="5">
        <v>45789</v>
      </c>
      <c r="G64" s="7">
        <v>1904.7</v>
      </c>
    </row>
    <row r="65" spans="2:7" x14ac:dyDescent="0.25">
      <c r="B65" s="5">
        <v>45790</v>
      </c>
      <c r="C65" s="6" t="s">
        <v>225</v>
      </c>
      <c r="D65" s="6" t="s">
        <v>226</v>
      </c>
      <c r="E65" s="6" t="s">
        <v>100</v>
      </c>
      <c r="F65" s="5"/>
      <c r="G65" s="7">
        <v>-2296.7199999999998</v>
      </c>
    </row>
    <row r="66" spans="2:7" x14ac:dyDescent="0.25">
      <c r="B66" s="5">
        <v>45802</v>
      </c>
      <c r="C66" s="6" t="s">
        <v>153</v>
      </c>
      <c r="D66" s="6" t="s">
        <v>87</v>
      </c>
      <c r="E66" s="6" t="s">
        <v>135</v>
      </c>
      <c r="F66" s="5">
        <v>45802</v>
      </c>
      <c r="G66" s="7">
        <v>12000</v>
      </c>
    </row>
    <row r="67" spans="2:7" x14ac:dyDescent="0.25">
      <c r="B67" s="5">
        <v>45802</v>
      </c>
      <c r="C67" s="6" t="s">
        <v>152</v>
      </c>
      <c r="D67" s="6" t="s">
        <v>99</v>
      </c>
      <c r="E67" s="6" t="s">
        <v>100</v>
      </c>
      <c r="F67" s="5">
        <v>45802</v>
      </c>
      <c r="G67" s="7">
        <v>-1863.6</v>
      </c>
    </row>
    <row r="68" spans="2:7" x14ac:dyDescent="0.25">
      <c r="B68" s="5">
        <v>45805</v>
      </c>
      <c r="C68" s="6" t="s">
        <v>162</v>
      </c>
      <c r="D68" s="5" t="s">
        <v>89</v>
      </c>
      <c r="E68" s="5" t="s">
        <v>100</v>
      </c>
      <c r="F68" s="5"/>
      <c r="G68" s="7">
        <v>-510.51</v>
      </c>
    </row>
    <row r="69" spans="2:7" x14ac:dyDescent="0.25">
      <c r="B69" s="5">
        <v>45815</v>
      </c>
      <c r="C69" s="6" t="s">
        <v>163</v>
      </c>
      <c r="D69" s="5" t="s">
        <v>89</v>
      </c>
      <c r="E69" s="6" t="s">
        <v>135</v>
      </c>
      <c r="F69" s="5"/>
      <c r="G69" s="7">
        <v>170.17</v>
      </c>
    </row>
    <row r="70" spans="2:7" x14ac:dyDescent="0.25">
      <c r="B70" s="5">
        <v>45815</v>
      </c>
      <c r="C70" s="6" t="s">
        <v>164</v>
      </c>
      <c r="D70" s="5" t="s">
        <v>89</v>
      </c>
      <c r="E70" s="6" t="s">
        <v>135</v>
      </c>
      <c r="F70" s="5"/>
      <c r="G70" s="7">
        <v>170.17</v>
      </c>
    </row>
    <row r="71" spans="2:7" x14ac:dyDescent="0.25">
      <c r="B71" s="5">
        <v>45815</v>
      </c>
      <c r="C71" s="6" t="s">
        <v>166</v>
      </c>
      <c r="D71" s="6" t="s">
        <v>89</v>
      </c>
      <c r="E71" s="6" t="s">
        <v>135</v>
      </c>
      <c r="F71" s="5"/>
      <c r="G71" s="7">
        <v>170.17</v>
      </c>
    </row>
    <row r="72" spans="2:7" x14ac:dyDescent="0.25">
      <c r="B72" s="5">
        <v>45818</v>
      </c>
      <c r="C72" s="6" t="s">
        <v>547</v>
      </c>
      <c r="D72" s="6" t="s">
        <v>273</v>
      </c>
      <c r="E72" s="6" t="s">
        <v>275</v>
      </c>
      <c r="F72" s="5"/>
      <c r="G72" s="7">
        <v>-29.64</v>
      </c>
    </row>
    <row r="73" spans="2:7" x14ac:dyDescent="0.25">
      <c r="B73" s="5">
        <v>45820</v>
      </c>
      <c r="C73" s="6" t="s">
        <v>134</v>
      </c>
      <c r="D73" s="5" t="s">
        <v>87</v>
      </c>
      <c r="E73" s="6" t="s">
        <v>135</v>
      </c>
      <c r="F73" s="5"/>
      <c r="G73" s="7">
        <v>1904.7</v>
      </c>
    </row>
    <row r="74" spans="2:7" x14ac:dyDescent="0.25">
      <c r="B74" s="5">
        <v>45821</v>
      </c>
      <c r="C74" s="6" t="s">
        <v>227</v>
      </c>
      <c r="D74" s="6" t="s">
        <v>226</v>
      </c>
      <c r="E74" s="6" t="s">
        <v>100</v>
      </c>
      <c r="F74" s="5"/>
      <c r="G74" s="7">
        <v>-4303.9399999999996</v>
      </c>
    </row>
    <row r="75" spans="2:7" x14ac:dyDescent="0.25">
      <c r="B75" s="5">
        <v>45833</v>
      </c>
      <c r="C75" s="6" t="s">
        <v>157</v>
      </c>
      <c r="D75" s="6" t="s">
        <v>99</v>
      </c>
      <c r="E75" s="6" t="s">
        <v>100</v>
      </c>
      <c r="F75" s="5"/>
      <c r="G75" s="7">
        <v>-1863.6</v>
      </c>
    </row>
    <row r="76" spans="2:7" x14ac:dyDescent="0.25">
      <c r="B76" s="5">
        <v>45836</v>
      </c>
      <c r="C76" s="6" t="s">
        <v>167</v>
      </c>
      <c r="D76" s="5" t="s">
        <v>89</v>
      </c>
      <c r="E76" s="5" t="s">
        <v>100</v>
      </c>
      <c r="F76" s="5"/>
      <c r="G76" s="7">
        <v>-510.51</v>
      </c>
    </row>
    <row r="77" spans="2:7" x14ac:dyDescent="0.25">
      <c r="B77" s="5">
        <v>45845</v>
      </c>
      <c r="C77" s="6" t="s">
        <v>168</v>
      </c>
      <c r="D77" s="5" t="s">
        <v>89</v>
      </c>
      <c r="E77" s="6" t="s">
        <v>135</v>
      </c>
      <c r="F77" s="5"/>
      <c r="G77" s="7">
        <v>170.17</v>
      </c>
    </row>
    <row r="78" spans="2:7" x14ac:dyDescent="0.25">
      <c r="B78" s="5">
        <v>45845</v>
      </c>
      <c r="C78" s="6" t="s">
        <v>170</v>
      </c>
      <c r="D78" s="5" t="s">
        <v>89</v>
      </c>
      <c r="E78" s="6" t="s">
        <v>135</v>
      </c>
      <c r="F78" s="5"/>
      <c r="G78" s="7">
        <v>170.17</v>
      </c>
    </row>
    <row r="79" spans="2:7" x14ac:dyDescent="0.25">
      <c r="B79" s="5">
        <v>45845</v>
      </c>
      <c r="C79" s="6" t="s">
        <v>171</v>
      </c>
      <c r="D79" s="6" t="s">
        <v>89</v>
      </c>
      <c r="E79" s="6" t="s">
        <v>135</v>
      </c>
      <c r="F79" s="5"/>
      <c r="G79" s="7">
        <v>170.17</v>
      </c>
    </row>
    <row r="80" spans="2:7" x14ac:dyDescent="0.25">
      <c r="B80" s="5">
        <v>45850</v>
      </c>
      <c r="C80" s="6" t="s">
        <v>134</v>
      </c>
      <c r="D80" s="5" t="s">
        <v>87</v>
      </c>
      <c r="E80" s="6" t="s">
        <v>135</v>
      </c>
      <c r="F80" s="5"/>
      <c r="G80" s="7">
        <v>1904.7</v>
      </c>
    </row>
    <row r="81" spans="2:7" x14ac:dyDescent="0.25">
      <c r="B81" s="5">
        <v>45851</v>
      </c>
      <c r="C81" s="6" t="s">
        <v>228</v>
      </c>
      <c r="D81" s="6" t="s">
        <v>226</v>
      </c>
      <c r="E81" s="6" t="s">
        <v>100</v>
      </c>
      <c r="F81" s="5"/>
      <c r="G81" s="7">
        <v>-3270.74</v>
      </c>
    </row>
    <row r="82" spans="2:7" x14ac:dyDescent="0.25">
      <c r="B82" s="5">
        <v>45863</v>
      </c>
      <c r="C82" s="6" t="s">
        <v>161</v>
      </c>
      <c r="D82" s="6" t="s">
        <v>99</v>
      </c>
      <c r="E82" s="6" t="s">
        <v>100</v>
      </c>
      <c r="F82" s="5"/>
      <c r="G82" s="7">
        <v>-1863.6</v>
      </c>
    </row>
    <row r="83" spans="2:7" x14ac:dyDescent="0.25">
      <c r="B83" s="5">
        <v>45866</v>
      </c>
      <c r="C83" s="6" t="s">
        <v>172</v>
      </c>
      <c r="D83" s="5" t="s">
        <v>89</v>
      </c>
      <c r="E83" s="5" t="s">
        <v>100</v>
      </c>
      <c r="F83" s="5"/>
      <c r="G83" s="7">
        <v>-510.51</v>
      </c>
    </row>
    <row r="84" spans="2:7" x14ac:dyDescent="0.25">
      <c r="B84" s="5">
        <v>45876</v>
      </c>
      <c r="C84" s="6" t="s">
        <v>174</v>
      </c>
      <c r="D84" s="5" t="s">
        <v>89</v>
      </c>
      <c r="E84" s="6" t="s">
        <v>135</v>
      </c>
      <c r="F84" s="5"/>
      <c r="G84" s="7">
        <v>170.17</v>
      </c>
    </row>
    <row r="85" spans="2:7" x14ac:dyDescent="0.25">
      <c r="B85" s="5">
        <v>45876</v>
      </c>
      <c r="C85" s="6" t="s">
        <v>175</v>
      </c>
      <c r="D85" s="5" t="s">
        <v>89</v>
      </c>
      <c r="E85" s="6" t="s">
        <v>135</v>
      </c>
      <c r="F85" s="5"/>
      <c r="G85" s="7">
        <v>170.17</v>
      </c>
    </row>
    <row r="86" spans="2:7" x14ac:dyDescent="0.25">
      <c r="B86" s="5">
        <v>45876</v>
      </c>
      <c r="C86" s="6" t="s">
        <v>176</v>
      </c>
      <c r="D86" s="6" t="s">
        <v>89</v>
      </c>
      <c r="E86" s="6" t="s">
        <v>135</v>
      </c>
      <c r="F86" s="5"/>
      <c r="G86" s="7">
        <v>170.17</v>
      </c>
    </row>
    <row r="87" spans="2:7" x14ac:dyDescent="0.25">
      <c r="B87" s="5">
        <v>45881</v>
      </c>
      <c r="C87" s="6" t="s">
        <v>134</v>
      </c>
      <c r="D87" s="5" t="s">
        <v>87</v>
      </c>
      <c r="E87" s="6" t="s">
        <v>135</v>
      </c>
      <c r="F87" s="5"/>
      <c r="G87" s="7">
        <v>1904.7</v>
      </c>
    </row>
    <row r="88" spans="2:7" x14ac:dyDescent="0.25">
      <c r="B88" s="5">
        <v>45882</v>
      </c>
      <c r="C88" s="6" t="s">
        <v>229</v>
      </c>
      <c r="D88" s="6" t="s">
        <v>226</v>
      </c>
      <c r="E88" s="6" t="s">
        <v>100</v>
      </c>
      <c r="F88" s="5"/>
      <c r="G88" s="7">
        <v>-3356.26</v>
      </c>
    </row>
    <row r="89" spans="2:7" x14ac:dyDescent="0.25">
      <c r="B89" s="5">
        <v>45894</v>
      </c>
      <c r="C89" s="6" t="s">
        <v>165</v>
      </c>
      <c r="D89" s="6" t="s">
        <v>99</v>
      </c>
      <c r="E89" s="6" t="s">
        <v>100</v>
      </c>
      <c r="F89" s="5"/>
      <c r="G89" s="7">
        <v>-1863.6</v>
      </c>
    </row>
    <row r="90" spans="2:7" x14ac:dyDescent="0.25">
      <c r="B90" s="5">
        <v>45897</v>
      </c>
      <c r="C90" s="6" t="s">
        <v>178</v>
      </c>
      <c r="D90" s="5" t="s">
        <v>89</v>
      </c>
      <c r="E90" s="5" t="s">
        <v>100</v>
      </c>
      <c r="F90" s="5"/>
      <c r="G90" s="7">
        <v>-510.51</v>
      </c>
    </row>
    <row r="91" spans="2:7" x14ac:dyDescent="0.25">
      <c r="B91" s="5">
        <v>45907</v>
      </c>
      <c r="C91" s="6" t="s">
        <v>234</v>
      </c>
      <c r="D91" s="5" t="s">
        <v>89</v>
      </c>
      <c r="E91" s="6" t="s">
        <v>135</v>
      </c>
      <c r="F91" s="5"/>
      <c r="G91" s="7">
        <v>170.17</v>
      </c>
    </row>
    <row r="92" spans="2:7" x14ac:dyDescent="0.25">
      <c r="B92" s="5">
        <v>45907</v>
      </c>
      <c r="C92" s="6" t="s">
        <v>235</v>
      </c>
      <c r="D92" s="5" t="s">
        <v>89</v>
      </c>
      <c r="E92" s="6" t="s">
        <v>135</v>
      </c>
      <c r="F92" s="5"/>
      <c r="G92" s="7">
        <v>170.17</v>
      </c>
    </row>
    <row r="93" spans="2:7" x14ac:dyDescent="0.25">
      <c r="B93" s="5">
        <v>45907</v>
      </c>
      <c r="C93" s="6" t="s">
        <v>236</v>
      </c>
      <c r="D93" s="6" t="s">
        <v>89</v>
      </c>
      <c r="E93" s="6" t="s">
        <v>135</v>
      </c>
      <c r="F93" s="5"/>
      <c r="G93" s="7">
        <v>170.17</v>
      </c>
    </row>
    <row r="94" spans="2:7" x14ac:dyDescent="0.25">
      <c r="B94" s="5">
        <v>45910</v>
      </c>
      <c r="C94" s="6" t="s">
        <v>548</v>
      </c>
      <c r="D94" s="6" t="s">
        <v>273</v>
      </c>
      <c r="E94" s="6" t="s">
        <v>275</v>
      </c>
      <c r="F94" s="5"/>
      <c r="G94" s="7">
        <v>-129.80000000000001</v>
      </c>
    </row>
    <row r="95" spans="2:7" x14ac:dyDescent="0.25">
      <c r="B95" s="5">
        <v>45912</v>
      </c>
      <c r="C95" s="6" t="s">
        <v>134</v>
      </c>
      <c r="D95" s="5" t="s">
        <v>87</v>
      </c>
      <c r="E95" s="6" t="s">
        <v>135</v>
      </c>
      <c r="F95" s="5"/>
      <c r="G95" s="7">
        <v>1904.7</v>
      </c>
    </row>
    <row r="96" spans="2:7" x14ac:dyDescent="0.25">
      <c r="B96" s="5">
        <v>45913</v>
      </c>
      <c r="C96" s="6" t="s">
        <v>230</v>
      </c>
      <c r="D96" s="6" t="s">
        <v>226</v>
      </c>
      <c r="E96" s="6" t="s">
        <v>100</v>
      </c>
      <c r="F96" s="5"/>
      <c r="G96" s="7">
        <v>-3368.17</v>
      </c>
    </row>
    <row r="97" spans="2:7" x14ac:dyDescent="0.25">
      <c r="B97" s="5">
        <v>45925</v>
      </c>
      <c r="C97" s="6" t="s">
        <v>169</v>
      </c>
      <c r="D97" s="6" t="s">
        <v>99</v>
      </c>
      <c r="E97" s="6" t="s">
        <v>100</v>
      </c>
      <c r="F97" s="5"/>
      <c r="G97" s="7">
        <v>-1863.6</v>
      </c>
    </row>
    <row r="98" spans="2:7" x14ac:dyDescent="0.25">
      <c r="B98" s="5">
        <v>45928</v>
      </c>
      <c r="C98" s="6" t="s">
        <v>237</v>
      </c>
      <c r="D98" s="5" t="s">
        <v>89</v>
      </c>
      <c r="E98" s="5" t="s">
        <v>100</v>
      </c>
      <c r="F98" s="5"/>
      <c r="G98" s="7">
        <v>-510.51</v>
      </c>
    </row>
    <row r="99" spans="2:7" x14ac:dyDescent="0.25">
      <c r="B99" s="5">
        <v>45937</v>
      </c>
      <c r="C99" s="6" t="s">
        <v>238</v>
      </c>
      <c r="D99" s="5" t="s">
        <v>89</v>
      </c>
      <c r="E99" s="6" t="s">
        <v>135</v>
      </c>
      <c r="F99" s="5"/>
      <c r="G99" s="7">
        <v>170.17</v>
      </c>
    </row>
    <row r="100" spans="2:7" x14ac:dyDescent="0.25">
      <c r="B100" s="5">
        <v>45937</v>
      </c>
      <c r="C100" s="6" t="s">
        <v>239</v>
      </c>
      <c r="D100" s="5" t="s">
        <v>89</v>
      </c>
      <c r="E100" s="6" t="s">
        <v>135</v>
      </c>
      <c r="F100" s="5"/>
      <c r="G100" s="7">
        <v>170.17</v>
      </c>
    </row>
    <row r="101" spans="2:7" x14ac:dyDescent="0.25">
      <c r="B101" s="5">
        <v>45937</v>
      </c>
      <c r="C101" s="6" t="s">
        <v>240</v>
      </c>
      <c r="D101" s="6" t="s">
        <v>89</v>
      </c>
      <c r="E101" s="6" t="s">
        <v>135</v>
      </c>
      <c r="F101" s="5"/>
      <c r="G101" s="7">
        <v>170.17</v>
      </c>
    </row>
    <row r="102" spans="2:7" x14ac:dyDescent="0.25">
      <c r="B102" s="5">
        <v>45942</v>
      </c>
      <c r="C102" s="6" t="s">
        <v>134</v>
      </c>
      <c r="D102" s="5" t="s">
        <v>87</v>
      </c>
      <c r="E102" s="6" t="s">
        <v>135</v>
      </c>
      <c r="F102" s="5"/>
      <c r="G102" s="7">
        <v>1904.7</v>
      </c>
    </row>
    <row r="103" spans="2:7" x14ac:dyDescent="0.25">
      <c r="B103" s="5">
        <v>45943</v>
      </c>
      <c r="C103" s="6" t="s">
        <v>231</v>
      </c>
      <c r="D103" s="6" t="s">
        <v>226</v>
      </c>
      <c r="E103" s="6" t="s">
        <v>100</v>
      </c>
      <c r="F103" s="5"/>
      <c r="G103" s="7">
        <v>-3462.54</v>
      </c>
    </row>
    <row r="104" spans="2:7" x14ac:dyDescent="0.25">
      <c r="B104" s="5">
        <v>45951</v>
      </c>
      <c r="C104" s="6" t="s">
        <v>556</v>
      </c>
      <c r="D104" s="6" t="s">
        <v>273</v>
      </c>
      <c r="E104" s="6" t="s">
        <v>275</v>
      </c>
      <c r="F104" s="5"/>
      <c r="G104" s="7">
        <v>-55.46</v>
      </c>
    </row>
    <row r="105" spans="2:7" x14ac:dyDescent="0.25">
      <c r="B105" s="5">
        <v>45955</v>
      </c>
      <c r="C105" s="6" t="s">
        <v>173</v>
      </c>
      <c r="D105" s="6" t="s">
        <v>99</v>
      </c>
      <c r="E105" s="6" t="s">
        <v>100</v>
      </c>
      <c r="F105" s="5"/>
      <c r="G105" s="7">
        <v>-1863.6</v>
      </c>
    </row>
    <row r="106" spans="2:7" x14ac:dyDescent="0.25">
      <c r="B106" s="5">
        <v>45958</v>
      </c>
      <c r="C106" s="6" t="s">
        <v>241</v>
      </c>
      <c r="D106" s="5" t="s">
        <v>89</v>
      </c>
      <c r="E106" s="5" t="s">
        <v>100</v>
      </c>
      <c r="F106" s="5"/>
      <c r="G106" s="7">
        <v>-510.51</v>
      </c>
    </row>
    <row r="107" spans="2:7" x14ac:dyDescent="0.25">
      <c r="B107" s="5">
        <v>45968</v>
      </c>
      <c r="C107" s="6" t="s">
        <v>242</v>
      </c>
      <c r="D107" s="5" t="s">
        <v>89</v>
      </c>
      <c r="E107" s="6" t="s">
        <v>135</v>
      </c>
      <c r="F107" s="5"/>
      <c r="G107" s="7">
        <v>170.17</v>
      </c>
    </row>
    <row r="108" spans="2:7" x14ac:dyDescent="0.25">
      <c r="B108" s="5">
        <v>45968</v>
      </c>
      <c r="C108" s="6" t="s">
        <v>243</v>
      </c>
      <c r="D108" s="5" t="s">
        <v>89</v>
      </c>
      <c r="E108" s="6" t="s">
        <v>135</v>
      </c>
      <c r="F108" s="5"/>
      <c r="G108" s="7">
        <v>170.17</v>
      </c>
    </row>
    <row r="109" spans="2:7" x14ac:dyDescent="0.25">
      <c r="B109" s="5">
        <v>45968</v>
      </c>
      <c r="C109" s="6" t="s">
        <v>244</v>
      </c>
      <c r="D109" s="6" t="s">
        <v>89</v>
      </c>
      <c r="E109" s="6" t="s">
        <v>135</v>
      </c>
      <c r="F109" s="5"/>
      <c r="G109" s="7">
        <v>170.17</v>
      </c>
    </row>
    <row r="110" spans="2:7" x14ac:dyDescent="0.25">
      <c r="B110" s="5">
        <v>45973</v>
      </c>
      <c r="C110" s="6" t="s">
        <v>134</v>
      </c>
      <c r="D110" s="5" t="s">
        <v>87</v>
      </c>
      <c r="E110" s="6" t="s">
        <v>135</v>
      </c>
      <c r="F110" s="5"/>
      <c r="G110" s="7">
        <v>1904.7</v>
      </c>
    </row>
    <row r="111" spans="2:7" x14ac:dyDescent="0.25">
      <c r="B111" s="5">
        <v>45974</v>
      </c>
      <c r="C111" s="6" t="s">
        <v>232</v>
      </c>
      <c r="D111" s="6" t="s">
        <v>226</v>
      </c>
      <c r="E111" s="6" t="s">
        <v>100</v>
      </c>
      <c r="F111" s="5"/>
      <c r="G111" s="7">
        <v>-3575.85</v>
      </c>
    </row>
    <row r="112" spans="2:7" x14ac:dyDescent="0.25">
      <c r="B112" s="5">
        <v>45986</v>
      </c>
      <c r="C112" s="6" t="s">
        <v>177</v>
      </c>
      <c r="D112" s="6" t="s">
        <v>99</v>
      </c>
      <c r="E112" s="6" t="s">
        <v>100</v>
      </c>
      <c r="F112" s="5"/>
      <c r="G112" s="7">
        <v>-1863.6</v>
      </c>
    </row>
    <row r="113" spans="2:7" x14ac:dyDescent="0.25">
      <c r="B113" s="5">
        <v>45989</v>
      </c>
      <c r="C113" s="6" t="s">
        <v>245</v>
      </c>
      <c r="D113" s="5" t="s">
        <v>89</v>
      </c>
      <c r="E113" s="5" t="s">
        <v>100</v>
      </c>
      <c r="F113" s="5"/>
      <c r="G113" s="7">
        <v>-510.51</v>
      </c>
    </row>
    <row r="114" spans="2:7" x14ac:dyDescent="0.25">
      <c r="B114" s="5">
        <v>45996</v>
      </c>
      <c r="C114" s="6" t="s">
        <v>539</v>
      </c>
      <c r="D114" s="6" t="s">
        <v>273</v>
      </c>
      <c r="E114" s="6" t="s">
        <v>275</v>
      </c>
      <c r="F114" s="5"/>
      <c r="G114" s="7">
        <v>-264.89999999999998</v>
      </c>
    </row>
    <row r="115" spans="2:7" x14ac:dyDescent="0.25">
      <c r="B115" s="5">
        <v>45997</v>
      </c>
      <c r="C115" s="6" t="s">
        <v>572</v>
      </c>
      <c r="D115" s="6" t="s">
        <v>273</v>
      </c>
      <c r="E115" s="6" t="s">
        <v>275</v>
      </c>
      <c r="F115" s="5"/>
      <c r="G115" s="7">
        <v>-58.31</v>
      </c>
    </row>
    <row r="116" spans="2:7" x14ac:dyDescent="0.25">
      <c r="B116" s="5">
        <v>46003</v>
      </c>
      <c r="C116" s="6" t="s">
        <v>134</v>
      </c>
      <c r="D116" s="5" t="s">
        <v>87</v>
      </c>
      <c r="E116" s="6" t="s">
        <v>135</v>
      </c>
      <c r="F116" s="5"/>
      <c r="G116" s="7">
        <v>1904.7</v>
      </c>
    </row>
    <row r="117" spans="2:7" x14ac:dyDescent="0.25">
      <c r="B117" s="5">
        <v>46003</v>
      </c>
      <c r="C117" s="6" t="s">
        <v>549</v>
      </c>
      <c r="D117" s="6" t="s">
        <v>273</v>
      </c>
      <c r="E117" s="6" t="s">
        <v>275</v>
      </c>
      <c r="F117" s="5"/>
      <c r="G117" s="7">
        <v>-447.8</v>
      </c>
    </row>
    <row r="118" spans="2:7" x14ac:dyDescent="0.25">
      <c r="B118" s="5">
        <v>46004</v>
      </c>
      <c r="C118" s="6" t="s">
        <v>233</v>
      </c>
      <c r="D118" s="6" t="s">
        <v>226</v>
      </c>
      <c r="E118" s="6" t="s">
        <v>100</v>
      </c>
      <c r="F118" s="5"/>
      <c r="G118" s="7">
        <v>-3576.16</v>
      </c>
    </row>
    <row r="119" spans="2:7" x14ac:dyDescent="0.25">
      <c r="B119" s="5">
        <v>46006</v>
      </c>
      <c r="C119" s="6" t="s">
        <v>573</v>
      </c>
      <c r="D119" s="6" t="s">
        <v>273</v>
      </c>
      <c r="E119" s="6" t="s">
        <v>275</v>
      </c>
      <c r="F119" s="5"/>
      <c r="G119" s="7">
        <v>-126.4</v>
      </c>
    </row>
    <row r="120" spans="2:7" x14ac:dyDescent="0.25">
      <c r="B120" s="5">
        <v>46008</v>
      </c>
      <c r="C120" s="6" t="s">
        <v>574</v>
      </c>
      <c r="D120" s="6" t="s">
        <v>273</v>
      </c>
      <c r="E120" s="6" t="s">
        <v>275</v>
      </c>
      <c r="F120" s="5"/>
      <c r="G120" s="7">
        <v>-51.98</v>
      </c>
    </row>
    <row r="121" spans="2:7" x14ac:dyDescent="0.25">
      <c r="B121" s="5">
        <v>46013</v>
      </c>
      <c r="C121" s="6" t="s">
        <v>557</v>
      </c>
      <c r="D121" s="6" t="s">
        <v>273</v>
      </c>
      <c r="E121" s="6" t="s">
        <v>275</v>
      </c>
      <c r="F121" s="5"/>
      <c r="G121" s="7">
        <v>-166.56</v>
      </c>
    </row>
    <row r="122" spans="2:7" x14ac:dyDescent="0.25">
      <c r="B122" s="5">
        <v>46016</v>
      </c>
      <c r="C122" s="6" t="s">
        <v>179</v>
      </c>
      <c r="D122" s="6" t="s">
        <v>99</v>
      </c>
      <c r="E122" s="6" t="s">
        <v>100</v>
      </c>
      <c r="F122" s="5"/>
      <c r="G122" s="7">
        <v>-1863.6</v>
      </c>
    </row>
    <row r="123" spans="2:7" x14ac:dyDescent="0.25">
      <c r="B123" s="5">
        <v>46034</v>
      </c>
      <c r="C123" s="6" t="s">
        <v>134</v>
      </c>
      <c r="D123" s="5" t="s">
        <v>87</v>
      </c>
      <c r="E123" s="6" t="s">
        <v>135</v>
      </c>
      <c r="F123" s="5"/>
      <c r="G123" s="7">
        <v>1904.7</v>
      </c>
    </row>
    <row r="124" spans="2:7" x14ac:dyDescent="0.25">
      <c r="B124" s="5">
        <v>46046</v>
      </c>
      <c r="C124" s="6" t="s">
        <v>575</v>
      </c>
      <c r="D124" s="6" t="s">
        <v>273</v>
      </c>
      <c r="E124" s="6" t="s">
        <v>275</v>
      </c>
      <c r="F124" s="5"/>
      <c r="G124" s="7">
        <v>-68.400000000000006</v>
      </c>
    </row>
    <row r="125" spans="2:7" x14ac:dyDescent="0.25">
      <c r="B125" s="5">
        <v>46047</v>
      </c>
      <c r="C125" s="6" t="s">
        <v>180</v>
      </c>
      <c r="D125" s="6" t="s">
        <v>99</v>
      </c>
      <c r="E125" s="6" t="s">
        <v>100</v>
      </c>
      <c r="F125" s="5"/>
      <c r="G125" s="7">
        <v>-1863.6</v>
      </c>
    </row>
    <row r="126" spans="2:7" x14ac:dyDescent="0.25">
      <c r="B126" s="5">
        <v>46047</v>
      </c>
      <c r="C126" s="6" t="s">
        <v>558</v>
      </c>
      <c r="D126" s="6" t="s">
        <v>273</v>
      </c>
      <c r="E126" s="6" t="s">
        <v>275</v>
      </c>
      <c r="F126" s="5"/>
      <c r="G126" s="7">
        <v>-54.73</v>
      </c>
    </row>
    <row r="127" spans="2:7" x14ac:dyDescent="0.25">
      <c r="B127" s="5">
        <v>46048</v>
      </c>
      <c r="C127" s="6" t="s">
        <v>576</v>
      </c>
      <c r="D127" s="6" t="s">
        <v>273</v>
      </c>
      <c r="E127" s="6" t="s">
        <v>275</v>
      </c>
      <c r="F127" s="5"/>
      <c r="G127" s="7">
        <v>-610.35</v>
      </c>
    </row>
    <row r="128" spans="2:7" x14ac:dyDescent="0.25">
      <c r="B128" s="5">
        <v>46049</v>
      </c>
      <c r="C128" s="6" t="s">
        <v>575</v>
      </c>
      <c r="D128" s="6" t="s">
        <v>273</v>
      </c>
      <c r="E128" s="6" t="s">
        <v>275</v>
      </c>
      <c r="F128" s="5"/>
      <c r="G128" s="7">
        <v>-63.2</v>
      </c>
    </row>
    <row r="129" spans="2:7" x14ac:dyDescent="0.25">
      <c r="B129" s="5">
        <v>46051</v>
      </c>
      <c r="C129" s="6" t="s">
        <v>565</v>
      </c>
      <c r="D129" s="6" t="s">
        <v>273</v>
      </c>
      <c r="E129" s="6" t="s">
        <v>275</v>
      </c>
      <c r="F129" s="5"/>
      <c r="G129" s="7">
        <v>-12.25</v>
      </c>
    </row>
    <row r="130" spans="2:7" x14ac:dyDescent="0.25">
      <c r="B130" s="5">
        <v>46051</v>
      </c>
      <c r="C130" s="6" t="s">
        <v>566</v>
      </c>
      <c r="D130" s="6" t="s">
        <v>273</v>
      </c>
      <c r="E130" s="6" t="s">
        <v>275</v>
      </c>
      <c r="F130" s="5"/>
      <c r="G130" s="7">
        <v>-65.94</v>
      </c>
    </row>
    <row r="131" spans="2:7" x14ac:dyDescent="0.25">
      <c r="B131" s="5">
        <v>46052</v>
      </c>
      <c r="C131" s="6" t="s">
        <v>568</v>
      </c>
      <c r="D131" s="6" t="s">
        <v>273</v>
      </c>
      <c r="E131" s="6" t="s">
        <v>275</v>
      </c>
      <c r="F131" s="5"/>
      <c r="G131" s="7">
        <v>-111.97</v>
      </c>
    </row>
    <row r="132" spans="2:7" x14ac:dyDescent="0.25">
      <c r="B132" s="5">
        <v>46053</v>
      </c>
      <c r="C132" s="6" t="s">
        <v>569</v>
      </c>
      <c r="D132" s="6" t="s">
        <v>273</v>
      </c>
      <c r="E132" s="6" t="s">
        <v>275</v>
      </c>
      <c r="F132" s="5"/>
      <c r="G132" s="7">
        <v>-18.84</v>
      </c>
    </row>
    <row r="133" spans="2:7" x14ac:dyDescent="0.25">
      <c r="B133" s="5">
        <v>46059</v>
      </c>
      <c r="C133" s="6" t="s">
        <v>540</v>
      </c>
      <c r="D133" s="6" t="s">
        <v>273</v>
      </c>
      <c r="E133" s="6" t="s">
        <v>275</v>
      </c>
      <c r="F133" s="5"/>
      <c r="G133" s="7">
        <v>-70.819999999999993</v>
      </c>
    </row>
    <row r="134" spans="2:7" x14ac:dyDescent="0.25">
      <c r="B134" s="5">
        <v>46059</v>
      </c>
      <c r="C134" s="6" t="s">
        <v>577</v>
      </c>
      <c r="D134" s="6" t="s">
        <v>273</v>
      </c>
      <c r="E134" s="6" t="s">
        <v>275</v>
      </c>
      <c r="F134" s="5"/>
      <c r="G134" s="7">
        <v>-58.8</v>
      </c>
    </row>
    <row r="135" spans="2:7" x14ac:dyDescent="0.25">
      <c r="B135" s="5">
        <v>46065</v>
      </c>
      <c r="C135" s="6" t="s">
        <v>134</v>
      </c>
      <c r="D135" s="5" t="s">
        <v>87</v>
      </c>
      <c r="E135" s="6" t="s">
        <v>135</v>
      </c>
      <c r="F135" s="5"/>
      <c r="G135" s="7">
        <v>1904.7</v>
      </c>
    </row>
    <row r="136" spans="2:7" x14ac:dyDescent="0.25">
      <c r="B136" s="5">
        <v>46069</v>
      </c>
      <c r="C136" s="6" t="s">
        <v>552</v>
      </c>
      <c r="D136" s="6" t="s">
        <v>273</v>
      </c>
      <c r="E136" s="6" t="s">
        <v>275</v>
      </c>
      <c r="F136" s="5"/>
      <c r="G136" s="7">
        <v>-76.099999999999994</v>
      </c>
    </row>
    <row r="137" spans="2:7" x14ac:dyDescent="0.25">
      <c r="B137" s="5">
        <v>46074</v>
      </c>
      <c r="C137" s="6" t="s">
        <v>555</v>
      </c>
      <c r="D137" s="6" t="s">
        <v>273</v>
      </c>
      <c r="E137" s="6" t="s">
        <v>275</v>
      </c>
      <c r="F137" s="5"/>
      <c r="G137" s="7">
        <v>-36.65</v>
      </c>
    </row>
    <row r="138" spans="2:7" x14ac:dyDescent="0.25">
      <c r="B138" s="5">
        <v>46075</v>
      </c>
      <c r="C138" s="6" t="s">
        <v>578</v>
      </c>
      <c r="D138" s="6" t="s">
        <v>273</v>
      </c>
      <c r="E138" s="6" t="s">
        <v>275</v>
      </c>
      <c r="F138" s="5"/>
      <c r="G138" s="7">
        <v>-16.07</v>
      </c>
    </row>
    <row r="139" spans="2:7" x14ac:dyDescent="0.25">
      <c r="B139" s="5">
        <v>46078</v>
      </c>
      <c r="C139" s="6" t="s">
        <v>181</v>
      </c>
      <c r="D139" s="6" t="s">
        <v>99</v>
      </c>
      <c r="E139" s="6" t="s">
        <v>100</v>
      </c>
      <c r="F139" s="5"/>
      <c r="G139" s="7">
        <v>-1863.6</v>
      </c>
    </row>
    <row r="140" spans="2:7" x14ac:dyDescent="0.25">
      <c r="B140" s="5">
        <v>46080</v>
      </c>
      <c r="C140" s="6" t="s">
        <v>559</v>
      </c>
      <c r="D140" s="6" t="s">
        <v>273</v>
      </c>
      <c r="E140" s="6" t="s">
        <v>275</v>
      </c>
      <c r="F140" s="5"/>
      <c r="G140" s="7">
        <v>-29.75</v>
      </c>
    </row>
    <row r="141" spans="2:7" x14ac:dyDescent="0.25">
      <c r="B141" s="5">
        <v>46083</v>
      </c>
      <c r="C141" s="6" t="s">
        <v>276</v>
      </c>
      <c r="D141" s="6" t="s">
        <v>273</v>
      </c>
      <c r="E141" s="6" t="s">
        <v>275</v>
      </c>
      <c r="F141" s="5"/>
      <c r="G141" s="7">
        <v>-30.24</v>
      </c>
    </row>
    <row r="142" spans="2:7" x14ac:dyDescent="0.25">
      <c r="B142" s="5">
        <v>46088</v>
      </c>
      <c r="C142" s="6" t="s">
        <v>579</v>
      </c>
      <c r="D142" s="6" t="s">
        <v>273</v>
      </c>
      <c r="E142" s="6" t="s">
        <v>275</v>
      </c>
      <c r="F142" s="5"/>
      <c r="G142" s="7">
        <v>-83.23</v>
      </c>
    </row>
    <row r="143" spans="2:7" x14ac:dyDescent="0.25">
      <c r="B143" s="5">
        <v>46089</v>
      </c>
      <c r="C143" s="6" t="s">
        <v>546</v>
      </c>
      <c r="D143" s="6" t="s">
        <v>273</v>
      </c>
      <c r="E143" s="6" t="s">
        <v>24</v>
      </c>
      <c r="F143" s="5"/>
      <c r="G143" s="7">
        <v>-118.77</v>
      </c>
    </row>
    <row r="144" spans="2:7" x14ac:dyDescent="0.25">
      <c r="B144" s="5">
        <v>46093</v>
      </c>
      <c r="C144" s="6" t="s">
        <v>134</v>
      </c>
      <c r="D144" s="5" t="s">
        <v>87</v>
      </c>
      <c r="E144" s="6" t="s">
        <v>135</v>
      </c>
      <c r="F144" s="5"/>
      <c r="G144" s="7">
        <v>1904.7</v>
      </c>
    </row>
    <row r="145" spans="2:7" x14ac:dyDescent="0.25">
      <c r="B145" s="5">
        <v>46095</v>
      </c>
      <c r="C145" s="6" t="s">
        <v>550</v>
      </c>
      <c r="D145" s="6" t="s">
        <v>273</v>
      </c>
      <c r="E145" s="6" t="s">
        <v>275</v>
      </c>
      <c r="F145" s="5"/>
      <c r="G145" s="7">
        <v>-52.48</v>
      </c>
    </row>
    <row r="146" spans="2:7" x14ac:dyDescent="0.25">
      <c r="B146" s="5">
        <v>46097</v>
      </c>
      <c r="C146" s="6" t="s">
        <v>580</v>
      </c>
      <c r="D146" s="6" t="s">
        <v>273</v>
      </c>
      <c r="E146" s="6" t="s">
        <v>275</v>
      </c>
      <c r="F146" s="5"/>
      <c r="G146" s="7">
        <v>-51.97</v>
      </c>
    </row>
    <row r="147" spans="2:7" x14ac:dyDescent="0.25">
      <c r="B147" s="5">
        <v>46104</v>
      </c>
      <c r="C147" s="6" t="s">
        <v>581</v>
      </c>
      <c r="D147" s="6" t="s">
        <v>273</v>
      </c>
      <c r="E147" s="6" t="s">
        <v>272</v>
      </c>
      <c r="F147" s="5"/>
      <c r="G147" s="7">
        <v>-29.9</v>
      </c>
    </row>
    <row r="148" spans="2:7" x14ac:dyDescent="0.25">
      <c r="B148" s="5">
        <v>46106</v>
      </c>
      <c r="C148" s="6" t="s">
        <v>182</v>
      </c>
      <c r="D148" s="6" t="s">
        <v>99</v>
      </c>
      <c r="E148" s="6" t="s">
        <v>100</v>
      </c>
      <c r="F148" s="5"/>
      <c r="G148" s="7">
        <v>-1863.6</v>
      </c>
    </row>
    <row r="149" spans="2:7" x14ac:dyDescent="0.25">
      <c r="B149" s="5">
        <v>46106</v>
      </c>
      <c r="C149" s="6" t="s">
        <v>582</v>
      </c>
      <c r="D149" s="6" t="s">
        <v>273</v>
      </c>
      <c r="E149" s="6" t="s">
        <v>275</v>
      </c>
      <c r="F149" s="5"/>
      <c r="G149" s="7">
        <v>-8</v>
      </c>
    </row>
    <row r="150" spans="2:7" x14ac:dyDescent="0.25">
      <c r="B150" s="5">
        <v>46106</v>
      </c>
      <c r="C150" s="6" t="s">
        <v>582</v>
      </c>
      <c r="D150" s="6" t="s">
        <v>273</v>
      </c>
      <c r="E150" s="6" t="s">
        <v>275</v>
      </c>
      <c r="F150" s="5"/>
      <c r="G150" s="7">
        <v>-8</v>
      </c>
    </row>
    <row r="151" spans="2:7" x14ac:dyDescent="0.25">
      <c r="B151" s="5">
        <v>46106</v>
      </c>
      <c r="C151" s="6" t="s">
        <v>582</v>
      </c>
      <c r="D151" s="6" t="s">
        <v>273</v>
      </c>
      <c r="E151" s="6" t="s">
        <v>275</v>
      </c>
      <c r="F151" s="5"/>
      <c r="G151" s="7">
        <v>-8</v>
      </c>
    </row>
    <row r="152" spans="2:7" x14ac:dyDescent="0.25">
      <c r="B152" s="5">
        <v>46106</v>
      </c>
      <c r="C152" s="6" t="s">
        <v>583</v>
      </c>
      <c r="D152" s="6" t="s">
        <v>273</v>
      </c>
      <c r="E152" s="6" t="s">
        <v>275</v>
      </c>
      <c r="F152" s="5"/>
      <c r="G152" s="7">
        <v>-8</v>
      </c>
    </row>
    <row r="153" spans="2:7" x14ac:dyDescent="0.25">
      <c r="B153" s="5">
        <v>46106</v>
      </c>
      <c r="C153" s="6" t="s">
        <v>583</v>
      </c>
      <c r="D153" s="6" t="s">
        <v>273</v>
      </c>
      <c r="E153" s="6" t="s">
        <v>275</v>
      </c>
      <c r="F153" s="5"/>
      <c r="G153" s="7">
        <v>-8</v>
      </c>
    </row>
    <row r="154" spans="2:7" x14ac:dyDescent="0.25">
      <c r="B154" s="5">
        <v>46106</v>
      </c>
      <c r="C154" s="6" t="s">
        <v>583</v>
      </c>
      <c r="D154" s="6" t="s">
        <v>273</v>
      </c>
      <c r="E154" s="6" t="s">
        <v>275</v>
      </c>
      <c r="F154" s="5"/>
      <c r="G154" s="7">
        <v>-10</v>
      </c>
    </row>
    <row r="155" spans="2:7" x14ac:dyDescent="0.25">
      <c r="B155" s="5">
        <v>46106</v>
      </c>
      <c r="C155" s="6" t="s">
        <v>584</v>
      </c>
      <c r="D155" s="6" t="s">
        <v>273</v>
      </c>
      <c r="E155" s="6" t="s">
        <v>22</v>
      </c>
      <c r="F155" s="5"/>
      <c r="G155" s="7">
        <v>-31.8</v>
      </c>
    </row>
    <row r="156" spans="2:7" x14ac:dyDescent="0.25">
      <c r="B156" s="5">
        <v>46107</v>
      </c>
      <c r="C156" s="6" t="s">
        <v>585</v>
      </c>
      <c r="D156" s="6" t="s">
        <v>273</v>
      </c>
      <c r="E156" s="6" t="s">
        <v>272</v>
      </c>
      <c r="F156" s="5"/>
      <c r="G156" s="7">
        <v>-79.069999999999993</v>
      </c>
    </row>
    <row r="157" spans="2:7" x14ac:dyDescent="0.25">
      <c r="B157" s="5">
        <v>46107</v>
      </c>
      <c r="C157" s="6" t="s">
        <v>586</v>
      </c>
      <c r="D157" s="6" t="s">
        <v>273</v>
      </c>
      <c r="E157" s="6" t="s">
        <v>272</v>
      </c>
      <c r="F157" s="5"/>
      <c r="G157" s="7">
        <v>-19</v>
      </c>
    </row>
    <row r="158" spans="2:7" x14ac:dyDescent="0.25">
      <c r="B158" s="5">
        <v>46107</v>
      </c>
      <c r="C158" s="6" t="s">
        <v>586</v>
      </c>
      <c r="D158" s="6" t="s">
        <v>273</v>
      </c>
      <c r="E158" s="6" t="s">
        <v>272</v>
      </c>
      <c r="F158" s="5"/>
      <c r="G158" s="7">
        <v>-14</v>
      </c>
    </row>
    <row r="159" spans="2:7" x14ac:dyDescent="0.25">
      <c r="B159" s="5">
        <v>46107</v>
      </c>
      <c r="C159" s="6" t="s">
        <v>587</v>
      </c>
      <c r="D159" s="6" t="s">
        <v>273</v>
      </c>
      <c r="E159" s="6" t="s">
        <v>275</v>
      </c>
      <c r="F159" s="5"/>
      <c r="G159" s="7">
        <v>-24</v>
      </c>
    </row>
    <row r="160" spans="2:7" x14ac:dyDescent="0.25">
      <c r="B160" s="5">
        <v>46108</v>
      </c>
      <c r="C160" s="6" t="s">
        <v>588</v>
      </c>
      <c r="D160" s="6" t="s">
        <v>273</v>
      </c>
      <c r="E160" s="6" t="s">
        <v>272</v>
      </c>
      <c r="F160" s="5"/>
      <c r="G160" s="7">
        <v>-83.16</v>
      </c>
    </row>
    <row r="161" spans="2:7" x14ac:dyDescent="0.25">
      <c r="B161" s="5">
        <v>46108</v>
      </c>
      <c r="C161" s="6" t="s">
        <v>589</v>
      </c>
      <c r="D161" s="6" t="s">
        <v>273</v>
      </c>
      <c r="E161" s="6" t="s">
        <v>275</v>
      </c>
      <c r="F161" s="5"/>
      <c r="G161" s="7">
        <v>-25.31</v>
      </c>
    </row>
    <row r="162" spans="2:7" x14ac:dyDescent="0.25">
      <c r="B162" s="5">
        <v>46108</v>
      </c>
      <c r="C162" s="6" t="s">
        <v>560</v>
      </c>
      <c r="D162" s="6" t="s">
        <v>273</v>
      </c>
      <c r="E162" s="6" t="s">
        <v>275</v>
      </c>
      <c r="F162" s="5"/>
      <c r="G162" s="7">
        <v>-17.5</v>
      </c>
    </row>
    <row r="163" spans="2:7" x14ac:dyDescent="0.25">
      <c r="B163" s="5">
        <v>46108</v>
      </c>
      <c r="C163" s="6" t="s">
        <v>545</v>
      </c>
      <c r="D163" s="6" t="s">
        <v>273</v>
      </c>
      <c r="E163" s="6" t="s">
        <v>275</v>
      </c>
      <c r="F163" s="5"/>
      <c r="G163" s="7">
        <v>-50</v>
      </c>
    </row>
    <row r="164" spans="2:7" x14ac:dyDescent="0.25">
      <c r="B164" s="5">
        <v>46108</v>
      </c>
      <c r="C164" s="6" t="s">
        <v>590</v>
      </c>
      <c r="D164" s="6" t="s">
        <v>273</v>
      </c>
      <c r="E164" s="6" t="s">
        <v>34</v>
      </c>
      <c r="F164" s="5"/>
      <c r="G164" s="7">
        <v>-302.2</v>
      </c>
    </row>
    <row r="165" spans="2:7" x14ac:dyDescent="0.25">
      <c r="B165" s="5">
        <v>46108</v>
      </c>
      <c r="C165" s="6" t="s">
        <v>561</v>
      </c>
      <c r="D165" s="6" t="s">
        <v>273</v>
      </c>
      <c r="E165" s="6" t="s">
        <v>34</v>
      </c>
      <c r="F165" s="5"/>
      <c r="G165" s="7">
        <v>-60.81</v>
      </c>
    </row>
    <row r="166" spans="2:7" x14ac:dyDescent="0.25">
      <c r="B166" s="5">
        <v>46108</v>
      </c>
      <c r="C166" s="6" t="s">
        <v>591</v>
      </c>
      <c r="D166" s="6" t="s">
        <v>273</v>
      </c>
      <c r="E166" s="6" t="s">
        <v>22</v>
      </c>
      <c r="F166" s="5"/>
      <c r="G166" s="7">
        <v>-17.489999999999998</v>
      </c>
    </row>
    <row r="167" spans="2:7" x14ac:dyDescent="0.25">
      <c r="B167" s="5">
        <v>46108</v>
      </c>
      <c r="C167" s="6" t="s">
        <v>591</v>
      </c>
      <c r="D167" s="6" t="s">
        <v>273</v>
      </c>
      <c r="E167" s="6" t="s">
        <v>22</v>
      </c>
      <c r="F167" s="5"/>
      <c r="G167" s="7">
        <v>-14.62</v>
      </c>
    </row>
    <row r="168" spans="2:7" x14ac:dyDescent="0.25">
      <c r="B168" s="5">
        <v>46108</v>
      </c>
      <c r="C168" s="6" t="s">
        <v>592</v>
      </c>
      <c r="D168" s="6" t="s">
        <v>273</v>
      </c>
      <c r="E168" s="6" t="s">
        <v>28</v>
      </c>
      <c r="F168" s="5"/>
      <c r="G168" s="7">
        <v>-8.9</v>
      </c>
    </row>
    <row r="169" spans="2:7" x14ac:dyDescent="0.25">
      <c r="B169" s="5">
        <v>46108</v>
      </c>
      <c r="C169" s="6" t="s">
        <v>592</v>
      </c>
      <c r="D169" s="6" t="s">
        <v>273</v>
      </c>
      <c r="E169" s="6" t="s">
        <v>28</v>
      </c>
      <c r="F169" s="5"/>
      <c r="G169" s="7">
        <v>-8.9</v>
      </c>
    </row>
    <row r="170" spans="2:7" x14ac:dyDescent="0.25">
      <c r="B170" s="5">
        <v>46108</v>
      </c>
      <c r="C170" s="6" t="s">
        <v>592</v>
      </c>
      <c r="D170" s="6" t="s">
        <v>273</v>
      </c>
      <c r="E170" s="6" t="s">
        <v>28</v>
      </c>
      <c r="F170" s="5"/>
      <c r="G170" s="7">
        <v>-8.9</v>
      </c>
    </row>
    <row r="171" spans="2:7" x14ac:dyDescent="0.25">
      <c r="B171" s="5">
        <v>46108</v>
      </c>
      <c r="C171" s="6" t="s">
        <v>593</v>
      </c>
      <c r="D171" s="6" t="s">
        <v>273</v>
      </c>
      <c r="E171" s="6" t="s">
        <v>100</v>
      </c>
      <c r="F171" s="5"/>
      <c r="G171" s="7">
        <v>-40.01</v>
      </c>
    </row>
    <row r="172" spans="2:7" x14ac:dyDescent="0.25">
      <c r="B172" s="5">
        <v>46108</v>
      </c>
      <c r="C172" s="6" t="s">
        <v>594</v>
      </c>
      <c r="D172" s="6" t="s">
        <v>273</v>
      </c>
      <c r="E172" s="6" t="s">
        <v>275</v>
      </c>
      <c r="F172" s="5"/>
      <c r="G172" s="7">
        <v>-39.96</v>
      </c>
    </row>
    <row r="173" spans="2:7" x14ac:dyDescent="0.25">
      <c r="B173" s="5">
        <v>46108</v>
      </c>
      <c r="C173" s="6" t="s">
        <v>562</v>
      </c>
      <c r="D173" s="6" t="s">
        <v>273</v>
      </c>
      <c r="E173" s="6" t="s">
        <v>275</v>
      </c>
      <c r="F173" s="5"/>
      <c r="G173" s="7">
        <v>-5</v>
      </c>
    </row>
    <row r="174" spans="2:7" x14ac:dyDescent="0.25">
      <c r="B174" s="5">
        <v>46109</v>
      </c>
      <c r="C174" s="6" t="s">
        <v>595</v>
      </c>
      <c r="D174" s="6" t="s">
        <v>273</v>
      </c>
      <c r="E174" s="6" t="s">
        <v>22</v>
      </c>
      <c r="F174" s="5"/>
      <c r="G174" s="7">
        <v>-3.6</v>
      </c>
    </row>
    <row r="175" spans="2:7" x14ac:dyDescent="0.25">
      <c r="B175" s="5">
        <v>46109</v>
      </c>
      <c r="C175" s="6" t="s">
        <v>563</v>
      </c>
      <c r="D175" s="6" t="s">
        <v>273</v>
      </c>
      <c r="E175" s="6" t="s">
        <v>34</v>
      </c>
      <c r="F175" s="5"/>
      <c r="G175" s="7">
        <v>-53.9</v>
      </c>
    </row>
    <row r="176" spans="2:7" x14ac:dyDescent="0.25">
      <c r="B176" s="5">
        <v>46109</v>
      </c>
      <c r="C176" s="6" t="s">
        <v>564</v>
      </c>
      <c r="D176" s="6" t="s">
        <v>273</v>
      </c>
      <c r="E176" s="6" t="s">
        <v>22</v>
      </c>
      <c r="F176" s="5"/>
      <c r="G176" s="7">
        <v>-108.48</v>
      </c>
    </row>
    <row r="177" spans="2:7" x14ac:dyDescent="0.25">
      <c r="B177" s="5">
        <v>46110</v>
      </c>
      <c r="C177" s="6" t="s">
        <v>596</v>
      </c>
      <c r="D177" s="6" t="s">
        <v>273</v>
      </c>
      <c r="E177" s="6" t="s">
        <v>275</v>
      </c>
      <c r="F177" s="5"/>
      <c r="G177" s="7">
        <v>-107</v>
      </c>
    </row>
    <row r="178" spans="2:7" x14ac:dyDescent="0.25">
      <c r="B178" s="5">
        <v>46110</v>
      </c>
      <c r="C178" s="6" t="s">
        <v>597</v>
      </c>
      <c r="D178" s="6" t="s">
        <v>273</v>
      </c>
      <c r="E178" s="6" t="s">
        <v>275</v>
      </c>
      <c r="F178" s="5"/>
      <c r="G178" s="7">
        <v>-53.15</v>
      </c>
    </row>
    <row r="179" spans="2:7" x14ac:dyDescent="0.25">
      <c r="B179" s="5">
        <v>46110</v>
      </c>
      <c r="C179" s="6" t="s">
        <v>598</v>
      </c>
      <c r="D179" s="6" t="s">
        <v>273</v>
      </c>
      <c r="E179" s="6" t="s">
        <v>275</v>
      </c>
      <c r="F179" s="5"/>
      <c r="G179" s="7">
        <v>-18</v>
      </c>
    </row>
    <row r="180" spans="2:7" x14ac:dyDescent="0.25">
      <c r="B180" s="5">
        <v>46110</v>
      </c>
      <c r="C180" s="6" t="s">
        <v>599</v>
      </c>
      <c r="D180" s="6" t="s">
        <v>273</v>
      </c>
      <c r="E180" s="6" t="s">
        <v>275</v>
      </c>
      <c r="F180" s="5"/>
      <c r="G180" s="7">
        <v>-64.03</v>
      </c>
    </row>
    <row r="181" spans="2:7" x14ac:dyDescent="0.25">
      <c r="B181" s="5">
        <v>46110</v>
      </c>
      <c r="C181" s="6" t="s">
        <v>301</v>
      </c>
      <c r="D181" s="6" t="s">
        <v>273</v>
      </c>
      <c r="E181" s="6" t="s">
        <v>272</v>
      </c>
      <c r="F181" s="5"/>
      <c r="G181" s="7">
        <v>-109.9</v>
      </c>
    </row>
    <row r="182" spans="2:7" x14ac:dyDescent="0.25">
      <c r="B182" s="5">
        <v>46110</v>
      </c>
      <c r="C182" s="6" t="s">
        <v>600</v>
      </c>
      <c r="D182" s="6" t="s">
        <v>273</v>
      </c>
      <c r="E182" s="6" t="s">
        <v>24</v>
      </c>
      <c r="F182" s="5"/>
      <c r="G182" s="7">
        <v>-99.99</v>
      </c>
    </row>
    <row r="183" spans="2:7" x14ac:dyDescent="0.25">
      <c r="B183" s="5">
        <v>46110</v>
      </c>
      <c r="C183" s="6" t="s">
        <v>601</v>
      </c>
      <c r="D183" s="6" t="s">
        <v>273</v>
      </c>
      <c r="E183" s="6" t="s">
        <v>275</v>
      </c>
      <c r="F183" s="5"/>
      <c r="G183" s="7">
        <v>-19.940000000000001</v>
      </c>
    </row>
    <row r="184" spans="2:7" x14ac:dyDescent="0.25">
      <c r="B184" s="5">
        <v>46110</v>
      </c>
      <c r="C184" s="6" t="s">
        <v>567</v>
      </c>
      <c r="D184" s="6" t="s">
        <v>273</v>
      </c>
      <c r="E184" s="6" t="s">
        <v>275</v>
      </c>
      <c r="F184" s="5"/>
      <c r="G184" s="7">
        <v>-45.8</v>
      </c>
    </row>
    <row r="185" spans="2:7" x14ac:dyDescent="0.25">
      <c r="B185" s="5">
        <v>46110</v>
      </c>
      <c r="C185" s="6" t="s">
        <v>602</v>
      </c>
      <c r="D185" s="6" t="s">
        <v>273</v>
      </c>
      <c r="E185" s="6" t="s">
        <v>275</v>
      </c>
      <c r="F185" s="5"/>
      <c r="G185" s="7">
        <v>-39</v>
      </c>
    </row>
    <row r="186" spans="2:7" x14ac:dyDescent="0.25">
      <c r="B186" s="5">
        <v>46110</v>
      </c>
      <c r="C186" s="6" t="s">
        <v>603</v>
      </c>
      <c r="D186" s="6" t="s">
        <v>273</v>
      </c>
      <c r="E186" s="6" t="s">
        <v>275</v>
      </c>
      <c r="F186" s="5"/>
      <c r="G186" s="7">
        <v>-46.8</v>
      </c>
    </row>
    <row r="187" spans="2:7" x14ac:dyDescent="0.25">
      <c r="B187" s="5">
        <v>46110</v>
      </c>
      <c r="C187" s="6" t="s">
        <v>603</v>
      </c>
      <c r="D187" s="6" t="s">
        <v>273</v>
      </c>
      <c r="E187" s="6" t="s">
        <v>275</v>
      </c>
      <c r="F187" s="5"/>
      <c r="G187" s="7">
        <v>-37.799999999999997</v>
      </c>
    </row>
    <row r="188" spans="2:7" x14ac:dyDescent="0.25">
      <c r="B188" s="5">
        <v>46110</v>
      </c>
      <c r="C188" s="6" t="s">
        <v>604</v>
      </c>
      <c r="D188" s="6" t="s">
        <v>273</v>
      </c>
      <c r="E188" s="6" t="s">
        <v>275</v>
      </c>
      <c r="F188" s="5"/>
      <c r="G188" s="7">
        <v>-70</v>
      </c>
    </row>
    <row r="189" spans="2:7" x14ac:dyDescent="0.25">
      <c r="B189" s="5">
        <v>46111</v>
      </c>
      <c r="C189" s="6" t="s">
        <v>584</v>
      </c>
      <c r="D189" s="6" t="s">
        <v>273</v>
      </c>
      <c r="E189" s="6" t="s">
        <v>22</v>
      </c>
      <c r="F189" s="5"/>
      <c r="G189" s="7">
        <v>-4.8</v>
      </c>
    </row>
    <row r="190" spans="2:7" x14ac:dyDescent="0.25">
      <c r="B190" s="5">
        <v>46112</v>
      </c>
      <c r="C190" s="6" t="s">
        <v>605</v>
      </c>
      <c r="D190" s="6" t="s">
        <v>273</v>
      </c>
      <c r="E190" s="6" t="s">
        <v>22</v>
      </c>
      <c r="F190" s="5"/>
      <c r="G190" s="7">
        <v>-73.52</v>
      </c>
    </row>
    <row r="191" spans="2:7" x14ac:dyDescent="0.25">
      <c r="B191" s="5">
        <v>46112</v>
      </c>
      <c r="C191" s="6" t="s">
        <v>570</v>
      </c>
      <c r="D191" s="6" t="s">
        <v>273</v>
      </c>
      <c r="E191" s="6" t="s">
        <v>272</v>
      </c>
      <c r="F191" s="5"/>
      <c r="G191" s="7">
        <v>-44.9</v>
      </c>
    </row>
    <row r="192" spans="2:7" x14ac:dyDescent="0.25">
      <c r="B192" s="5">
        <v>46112</v>
      </c>
      <c r="C192" s="6" t="s">
        <v>591</v>
      </c>
      <c r="D192" s="6" t="s">
        <v>273</v>
      </c>
      <c r="E192" s="6" t="s">
        <v>22</v>
      </c>
      <c r="F192" s="5"/>
      <c r="G192" s="7">
        <v>-17.989999999999998</v>
      </c>
    </row>
    <row r="193" spans="2:7" x14ac:dyDescent="0.25">
      <c r="B193" s="5">
        <v>46112</v>
      </c>
      <c r="C193" s="6" t="s">
        <v>606</v>
      </c>
      <c r="D193" s="6" t="s">
        <v>273</v>
      </c>
      <c r="E193" s="6" t="s">
        <v>272</v>
      </c>
      <c r="F193" s="5"/>
      <c r="G193" s="7">
        <v>-119.87</v>
      </c>
    </row>
    <row r="194" spans="2:7" x14ac:dyDescent="0.25">
      <c r="B194" s="5">
        <v>46113</v>
      </c>
      <c r="C194" s="6" t="s">
        <v>605</v>
      </c>
      <c r="D194" s="6" t="s">
        <v>273</v>
      </c>
      <c r="E194" s="6" t="s">
        <v>22</v>
      </c>
      <c r="F194" s="5"/>
      <c r="G194" s="7">
        <v>-23.85</v>
      </c>
    </row>
    <row r="195" spans="2:7" x14ac:dyDescent="0.25">
      <c r="B195" s="5">
        <v>46113</v>
      </c>
      <c r="C195" s="6" t="s">
        <v>607</v>
      </c>
      <c r="D195" s="6" t="s">
        <v>273</v>
      </c>
      <c r="E195" s="6" t="s">
        <v>272</v>
      </c>
      <c r="F195" s="5"/>
      <c r="G195" s="7">
        <v>-34.9</v>
      </c>
    </row>
    <row r="196" spans="2:7" x14ac:dyDescent="0.25">
      <c r="B196" s="5">
        <v>46113</v>
      </c>
      <c r="C196" s="6" t="s">
        <v>591</v>
      </c>
      <c r="D196" s="6" t="s">
        <v>273</v>
      </c>
      <c r="E196" s="6" t="s">
        <v>22</v>
      </c>
      <c r="F196" s="5"/>
      <c r="G196" s="7">
        <v>-21.98</v>
      </c>
    </row>
    <row r="197" spans="2:7" x14ac:dyDescent="0.25">
      <c r="B197" s="5">
        <v>46113</v>
      </c>
      <c r="C197" s="6" t="s">
        <v>592</v>
      </c>
      <c r="D197" s="6" t="s">
        <v>273</v>
      </c>
      <c r="E197" s="6" t="s">
        <v>28</v>
      </c>
      <c r="F197" s="5"/>
      <c r="G197" s="7">
        <v>-8.9</v>
      </c>
    </row>
    <row r="198" spans="2:7" x14ac:dyDescent="0.25">
      <c r="B198" s="5">
        <v>46113</v>
      </c>
      <c r="C198" s="6" t="s">
        <v>594</v>
      </c>
      <c r="D198" s="6" t="s">
        <v>273</v>
      </c>
      <c r="E198" s="6" t="s">
        <v>275</v>
      </c>
      <c r="F198" s="5"/>
      <c r="G198" s="7">
        <v>-72.599999999999994</v>
      </c>
    </row>
    <row r="199" spans="2:7" x14ac:dyDescent="0.25">
      <c r="B199" s="5">
        <v>46113</v>
      </c>
      <c r="C199" s="6" t="s">
        <v>608</v>
      </c>
      <c r="D199" s="6" t="s">
        <v>273</v>
      </c>
      <c r="E199" s="6" t="s">
        <v>275</v>
      </c>
      <c r="F199" s="5"/>
      <c r="G199" s="7">
        <v>-25.98</v>
      </c>
    </row>
    <row r="200" spans="2:7" x14ac:dyDescent="0.25">
      <c r="B200" s="5">
        <v>46114</v>
      </c>
      <c r="C200" s="6" t="s">
        <v>589</v>
      </c>
      <c r="D200" s="6" t="s">
        <v>273</v>
      </c>
      <c r="E200" s="6" t="s">
        <v>275</v>
      </c>
      <c r="F200" s="5"/>
      <c r="G200" s="7">
        <v>-5.2</v>
      </c>
    </row>
    <row r="201" spans="2:7" x14ac:dyDescent="0.25">
      <c r="B201" s="5">
        <v>46114</v>
      </c>
      <c r="C201" s="6" t="s">
        <v>609</v>
      </c>
      <c r="D201" s="6" t="s">
        <v>273</v>
      </c>
      <c r="E201" s="6" t="s">
        <v>275</v>
      </c>
      <c r="F201" s="5"/>
      <c r="G201" s="7">
        <v>-64.7</v>
      </c>
    </row>
    <row r="202" spans="2:7" x14ac:dyDescent="0.25">
      <c r="B202" s="5">
        <v>46114</v>
      </c>
      <c r="C202" s="6" t="s">
        <v>277</v>
      </c>
      <c r="D202" s="6" t="s">
        <v>273</v>
      </c>
      <c r="E202" s="6" t="s">
        <v>272</v>
      </c>
      <c r="F202" s="5"/>
      <c r="G202" s="7">
        <v>-94.24</v>
      </c>
    </row>
    <row r="203" spans="2:7" x14ac:dyDescent="0.25">
      <c r="B203" s="5">
        <v>46114</v>
      </c>
      <c r="C203" s="6" t="s">
        <v>610</v>
      </c>
      <c r="D203" s="6" t="s">
        <v>273</v>
      </c>
      <c r="E203" s="6" t="s">
        <v>275</v>
      </c>
      <c r="F203" s="5"/>
      <c r="G203" s="7">
        <v>-29.8</v>
      </c>
    </row>
    <row r="204" spans="2:7" x14ac:dyDescent="0.25">
      <c r="B204" s="5">
        <v>46115</v>
      </c>
      <c r="C204" s="6" t="s">
        <v>611</v>
      </c>
      <c r="D204" s="6" t="s">
        <v>273</v>
      </c>
      <c r="E204" s="6" t="s">
        <v>275</v>
      </c>
      <c r="F204" s="5"/>
      <c r="G204" s="7">
        <v>-45.97</v>
      </c>
    </row>
    <row r="205" spans="2:7" x14ac:dyDescent="0.25">
      <c r="B205" s="5">
        <v>46115</v>
      </c>
      <c r="C205" s="6" t="s">
        <v>301</v>
      </c>
      <c r="D205" s="6" t="s">
        <v>273</v>
      </c>
      <c r="E205" s="6" t="s">
        <v>272</v>
      </c>
      <c r="F205" s="5"/>
      <c r="G205" s="7">
        <v>-109.9</v>
      </c>
    </row>
    <row r="206" spans="2:7" x14ac:dyDescent="0.25">
      <c r="B206" s="5">
        <v>46116</v>
      </c>
      <c r="C206" s="6" t="s">
        <v>584</v>
      </c>
      <c r="D206" s="6" t="s">
        <v>273</v>
      </c>
      <c r="E206" s="6" t="s">
        <v>22</v>
      </c>
      <c r="F206" s="5"/>
      <c r="G206" s="7">
        <v>-4.8</v>
      </c>
    </row>
    <row r="207" spans="2:7" x14ac:dyDescent="0.25">
      <c r="B207" s="5">
        <v>46116</v>
      </c>
      <c r="C207" s="6" t="s">
        <v>612</v>
      </c>
      <c r="D207" s="6" t="s">
        <v>273</v>
      </c>
      <c r="E207" s="6" t="s">
        <v>275</v>
      </c>
      <c r="F207" s="5"/>
      <c r="G207" s="7">
        <v>-7</v>
      </c>
    </row>
    <row r="208" spans="2:7" x14ac:dyDescent="0.25">
      <c r="B208" s="5">
        <v>46117</v>
      </c>
      <c r="C208" s="6" t="s">
        <v>584</v>
      </c>
      <c r="D208" s="6" t="s">
        <v>273</v>
      </c>
      <c r="E208" s="6" t="s">
        <v>22</v>
      </c>
      <c r="F208" s="5"/>
      <c r="G208" s="7">
        <v>-25.6</v>
      </c>
    </row>
    <row r="209" spans="2:7" x14ac:dyDescent="0.25">
      <c r="B209" s="5">
        <v>46117</v>
      </c>
      <c r="C209" s="6" t="s">
        <v>613</v>
      </c>
      <c r="D209" s="6" t="s">
        <v>273</v>
      </c>
      <c r="E209" s="6" t="s">
        <v>275</v>
      </c>
      <c r="F209" s="5"/>
      <c r="G209" s="7">
        <v>-107.44</v>
      </c>
    </row>
    <row r="210" spans="2:7" x14ac:dyDescent="0.25">
      <c r="B210" s="5">
        <v>46117</v>
      </c>
      <c r="C210" s="6" t="s">
        <v>538</v>
      </c>
      <c r="D210" s="6" t="s">
        <v>273</v>
      </c>
      <c r="E210" s="6" t="s">
        <v>34</v>
      </c>
      <c r="F210" s="5"/>
      <c r="G210" s="7">
        <v>-320.89</v>
      </c>
    </row>
    <row r="211" spans="2:7" x14ac:dyDescent="0.25">
      <c r="B211" s="5">
        <v>46118</v>
      </c>
      <c r="C211" s="6" t="s">
        <v>589</v>
      </c>
      <c r="D211" s="6" t="s">
        <v>273</v>
      </c>
      <c r="E211" s="6" t="s">
        <v>275</v>
      </c>
      <c r="F211" s="5"/>
      <c r="G211" s="7">
        <v>-39.409999999999997</v>
      </c>
    </row>
    <row r="212" spans="2:7" x14ac:dyDescent="0.25">
      <c r="B212" s="5">
        <v>46118</v>
      </c>
      <c r="C212" s="6" t="s">
        <v>541</v>
      </c>
      <c r="D212" s="6" t="s">
        <v>273</v>
      </c>
      <c r="E212" s="6" t="s">
        <v>275</v>
      </c>
      <c r="F212" s="5"/>
      <c r="G212" s="7">
        <v>-198.75</v>
      </c>
    </row>
    <row r="213" spans="2:7" x14ac:dyDescent="0.25">
      <c r="B213" s="5">
        <v>46118</v>
      </c>
      <c r="C213" s="6" t="s">
        <v>542</v>
      </c>
      <c r="D213" s="6" t="s">
        <v>273</v>
      </c>
      <c r="E213" s="6" t="s">
        <v>275</v>
      </c>
      <c r="F213" s="5"/>
      <c r="G213" s="7">
        <v>-34.99</v>
      </c>
    </row>
    <row r="214" spans="2:7" x14ac:dyDescent="0.25">
      <c r="B214" s="5">
        <v>46118</v>
      </c>
      <c r="C214" s="6" t="s">
        <v>614</v>
      </c>
      <c r="D214" s="6" t="s">
        <v>273</v>
      </c>
      <c r="E214" s="6" t="s">
        <v>100</v>
      </c>
      <c r="F214" s="5"/>
      <c r="G214" s="7">
        <v>-584.20000000000005</v>
      </c>
    </row>
    <row r="215" spans="2:7" x14ac:dyDescent="0.25">
      <c r="B215" s="5">
        <v>46118</v>
      </c>
      <c r="C215" s="6" t="s">
        <v>543</v>
      </c>
      <c r="D215" s="6" t="s">
        <v>273</v>
      </c>
      <c r="E215" s="6" t="s">
        <v>275</v>
      </c>
      <c r="F215" s="5"/>
      <c r="G215" s="7">
        <v>-8.5</v>
      </c>
    </row>
    <row r="216" spans="2:7" x14ac:dyDescent="0.25">
      <c r="B216" s="5">
        <v>46118</v>
      </c>
      <c r="C216" s="6" t="s">
        <v>544</v>
      </c>
      <c r="D216" s="6" t="s">
        <v>273</v>
      </c>
      <c r="E216" s="6" t="s">
        <v>275</v>
      </c>
      <c r="F216" s="5"/>
      <c r="G216" s="7">
        <v>-120.77</v>
      </c>
    </row>
    <row r="217" spans="2:7" x14ac:dyDescent="0.25">
      <c r="B217" s="5">
        <v>46118</v>
      </c>
      <c r="C217" s="6" t="s">
        <v>545</v>
      </c>
      <c r="D217" s="6" t="s">
        <v>273</v>
      </c>
      <c r="E217" s="6" t="s">
        <v>275</v>
      </c>
      <c r="F217" s="5"/>
      <c r="G217" s="7">
        <v>-100</v>
      </c>
    </row>
    <row r="218" spans="2:7" x14ac:dyDescent="0.25">
      <c r="B218" s="5">
        <v>46118</v>
      </c>
      <c r="C218" s="6" t="s">
        <v>615</v>
      </c>
      <c r="D218" s="6" t="s">
        <v>273</v>
      </c>
      <c r="E218" s="6" t="s">
        <v>275</v>
      </c>
      <c r="F218" s="5"/>
      <c r="G218" s="7">
        <v>-32.200000000000003</v>
      </c>
    </row>
    <row r="219" spans="2:7" x14ac:dyDescent="0.25">
      <c r="B219" s="5">
        <v>46118</v>
      </c>
      <c r="C219" s="6" t="s">
        <v>591</v>
      </c>
      <c r="D219" s="6" t="s">
        <v>273</v>
      </c>
      <c r="E219" s="6" t="s">
        <v>22</v>
      </c>
      <c r="F219" s="5"/>
      <c r="G219" s="7">
        <v>-18.989999999999998</v>
      </c>
    </row>
    <row r="220" spans="2:7" x14ac:dyDescent="0.25">
      <c r="B220" s="5">
        <v>46118</v>
      </c>
      <c r="C220" s="6" t="s">
        <v>592</v>
      </c>
      <c r="D220" s="6" t="s">
        <v>273</v>
      </c>
      <c r="E220" s="6" t="s">
        <v>28</v>
      </c>
      <c r="F220" s="5"/>
      <c r="G220" s="7">
        <v>-8.9</v>
      </c>
    </row>
    <row r="221" spans="2:7" x14ac:dyDescent="0.25">
      <c r="B221" s="5">
        <v>46118</v>
      </c>
      <c r="C221" s="6" t="s">
        <v>592</v>
      </c>
      <c r="D221" s="6" t="s">
        <v>273</v>
      </c>
      <c r="E221" s="6" t="s">
        <v>28</v>
      </c>
      <c r="F221" s="5"/>
      <c r="G221" s="7">
        <v>-8.9</v>
      </c>
    </row>
    <row r="222" spans="2:7" x14ac:dyDescent="0.25">
      <c r="B222" s="5">
        <v>46118</v>
      </c>
      <c r="C222" s="6" t="s">
        <v>592</v>
      </c>
      <c r="D222" s="6" t="s">
        <v>273</v>
      </c>
      <c r="E222" s="6" t="s">
        <v>28</v>
      </c>
      <c r="F222" s="5"/>
      <c r="G222" s="7">
        <v>-8.9</v>
      </c>
    </row>
    <row r="223" spans="2:7" x14ac:dyDescent="0.25">
      <c r="B223" s="5">
        <v>46118</v>
      </c>
      <c r="C223" s="6" t="s">
        <v>592</v>
      </c>
      <c r="D223" s="6" t="s">
        <v>273</v>
      </c>
      <c r="E223" s="6" t="s">
        <v>28</v>
      </c>
      <c r="F223" s="5"/>
      <c r="G223" s="7">
        <v>-8.9</v>
      </c>
    </row>
    <row r="224" spans="2:7" x14ac:dyDescent="0.25">
      <c r="B224" s="5">
        <v>46118</v>
      </c>
      <c r="C224" s="6" t="s">
        <v>592</v>
      </c>
      <c r="D224" s="6" t="s">
        <v>273</v>
      </c>
      <c r="E224" s="6" t="s">
        <v>28</v>
      </c>
      <c r="F224" s="5"/>
      <c r="G224" s="7">
        <v>-8.9</v>
      </c>
    </row>
    <row r="225" spans="2:7" x14ac:dyDescent="0.25">
      <c r="B225" s="5">
        <v>46118</v>
      </c>
      <c r="C225" s="6" t="s">
        <v>592</v>
      </c>
      <c r="D225" s="6" t="s">
        <v>273</v>
      </c>
      <c r="E225" s="6" t="s">
        <v>28</v>
      </c>
      <c r="F225" s="5"/>
      <c r="G225" s="7">
        <v>-8.9</v>
      </c>
    </row>
    <row r="226" spans="2:7" x14ac:dyDescent="0.25">
      <c r="B226" s="5">
        <v>46118</v>
      </c>
      <c r="C226" s="6" t="s">
        <v>592</v>
      </c>
      <c r="D226" s="6" t="s">
        <v>273</v>
      </c>
      <c r="E226" s="6" t="s">
        <v>28</v>
      </c>
      <c r="F226" s="5"/>
      <c r="G226" s="7">
        <v>-8.9</v>
      </c>
    </row>
    <row r="227" spans="2:7" x14ac:dyDescent="0.25">
      <c r="B227" s="5">
        <v>46118</v>
      </c>
      <c r="C227" s="6" t="s">
        <v>592</v>
      </c>
      <c r="D227" s="6" t="s">
        <v>273</v>
      </c>
      <c r="E227" s="6" t="s">
        <v>28</v>
      </c>
      <c r="F227" s="5"/>
      <c r="G227" s="7">
        <v>-8.9</v>
      </c>
    </row>
    <row r="228" spans="2:7" x14ac:dyDescent="0.25">
      <c r="B228" s="5">
        <v>46118</v>
      </c>
      <c r="C228" s="6" t="s">
        <v>592</v>
      </c>
      <c r="D228" s="6" t="s">
        <v>273</v>
      </c>
      <c r="E228" s="6" t="s">
        <v>28</v>
      </c>
      <c r="F228" s="5"/>
      <c r="G228" s="7">
        <v>-8.9</v>
      </c>
    </row>
    <row r="229" spans="2:7" x14ac:dyDescent="0.25">
      <c r="B229" s="5">
        <v>46119</v>
      </c>
      <c r="C229" s="6" t="s">
        <v>605</v>
      </c>
      <c r="D229" s="6" t="s">
        <v>273</v>
      </c>
      <c r="E229" s="6" t="s">
        <v>22</v>
      </c>
      <c r="F229" s="5"/>
      <c r="G229" s="7">
        <v>-65.09</v>
      </c>
    </row>
    <row r="230" spans="2:7" x14ac:dyDescent="0.25">
      <c r="B230" s="5">
        <v>46119</v>
      </c>
      <c r="C230" s="6" t="s">
        <v>591</v>
      </c>
      <c r="D230" s="6" t="s">
        <v>273</v>
      </c>
      <c r="E230" s="6" t="s">
        <v>22</v>
      </c>
      <c r="F230" s="5"/>
      <c r="G230" s="7">
        <v>-12.24</v>
      </c>
    </row>
    <row r="231" spans="2:7" x14ac:dyDescent="0.25">
      <c r="B231" s="5">
        <v>46119</v>
      </c>
      <c r="C231" s="6" t="s">
        <v>591</v>
      </c>
      <c r="D231" s="6" t="s">
        <v>273</v>
      </c>
      <c r="E231" s="6" t="s">
        <v>22</v>
      </c>
      <c r="F231" s="5"/>
      <c r="G231" s="7">
        <v>-17.989999999999998</v>
      </c>
    </row>
    <row r="232" spans="2:7" x14ac:dyDescent="0.25">
      <c r="B232" s="5">
        <v>46120</v>
      </c>
      <c r="C232" s="6" t="s">
        <v>616</v>
      </c>
      <c r="D232" s="6" t="s">
        <v>273</v>
      </c>
      <c r="E232" s="6" t="s">
        <v>275</v>
      </c>
      <c r="F232" s="5"/>
      <c r="G232" s="7">
        <v>-56.88</v>
      </c>
    </row>
    <row r="233" spans="2:7" x14ac:dyDescent="0.25">
      <c r="B233" s="5">
        <v>46120</v>
      </c>
      <c r="C233" s="6" t="s">
        <v>617</v>
      </c>
      <c r="D233" s="6" t="s">
        <v>273</v>
      </c>
      <c r="E233" s="6" t="s">
        <v>22</v>
      </c>
      <c r="F233" s="5"/>
      <c r="G233" s="7">
        <v>-75.709999999999994</v>
      </c>
    </row>
    <row r="234" spans="2:7" x14ac:dyDescent="0.25">
      <c r="B234" s="5">
        <v>46121</v>
      </c>
      <c r="C234" s="6" t="s">
        <v>586</v>
      </c>
      <c r="D234" s="6" t="s">
        <v>273</v>
      </c>
      <c r="E234" s="6" t="s">
        <v>272</v>
      </c>
      <c r="F234" s="5"/>
      <c r="G234" s="7">
        <v>-19</v>
      </c>
    </row>
    <row r="235" spans="2:7" x14ac:dyDescent="0.25">
      <c r="B235" s="5">
        <v>46121</v>
      </c>
      <c r="C235" s="6" t="s">
        <v>618</v>
      </c>
      <c r="D235" s="6" t="s">
        <v>273</v>
      </c>
      <c r="E235" s="6" t="s">
        <v>275</v>
      </c>
      <c r="F235" s="5"/>
      <c r="G235" s="7">
        <v>-25</v>
      </c>
    </row>
    <row r="236" spans="2:7" x14ac:dyDescent="0.25">
      <c r="B236" s="5">
        <v>46121</v>
      </c>
      <c r="C236" s="6" t="s">
        <v>591</v>
      </c>
      <c r="D236" s="6" t="s">
        <v>273</v>
      </c>
      <c r="E236" s="6" t="s">
        <v>22</v>
      </c>
      <c r="F236" s="5"/>
      <c r="G236" s="7">
        <v>-30.87</v>
      </c>
    </row>
    <row r="237" spans="2:7" x14ac:dyDescent="0.25">
      <c r="B237" s="5">
        <v>46121</v>
      </c>
      <c r="C237" s="6" t="s">
        <v>591</v>
      </c>
      <c r="D237" s="6" t="s">
        <v>273</v>
      </c>
      <c r="E237" s="6" t="s">
        <v>22</v>
      </c>
      <c r="F237" s="5"/>
      <c r="G237" s="7">
        <v>-3.99</v>
      </c>
    </row>
    <row r="238" spans="2:7" x14ac:dyDescent="0.25">
      <c r="B238" s="5">
        <v>46122</v>
      </c>
      <c r="C238" s="6" t="s">
        <v>619</v>
      </c>
      <c r="D238" s="6" t="s">
        <v>273</v>
      </c>
      <c r="E238" s="6" t="s">
        <v>275</v>
      </c>
      <c r="F238" s="5"/>
      <c r="G238" s="7">
        <v>-350</v>
      </c>
    </row>
    <row r="239" spans="2:7" x14ac:dyDescent="0.25">
      <c r="B239" s="5">
        <v>46122</v>
      </c>
      <c r="C239" s="6" t="s">
        <v>595</v>
      </c>
      <c r="D239" s="6" t="s">
        <v>273</v>
      </c>
      <c r="E239" s="6" t="s">
        <v>22</v>
      </c>
      <c r="F239" s="5"/>
      <c r="G239" s="7">
        <v>-3.6</v>
      </c>
    </row>
    <row r="240" spans="2:7" x14ac:dyDescent="0.25">
      <c r="B240" s="5">
        <v>46122</v>
      </c>
      <c r="C240" s="6" t="s">
        <v>620</v>
      </c>
      <c r="D240" s="6" t="s">
        <v>273</v>
      </c>
      <c r="E240" s="6" t="s">
        <v>28</v>
      </c>
      <c r="F240" s="5"/>
      <c r="G240" s="7">
        <v>-43.9</v>
      </c>
    </row>
    <row r="241" spans="2:7" x14ac:dyDescent="0.25">
      <c r="B241" s="5">
        <v>46122</v>
      </c>
      <c r="C241" s="6" t="s">
        <v>621</v>
      </c>
      <c r="D241" s="6" t="s">
        <v>273</v>
      </c>
      <c r="E241" s="6" t="s">
        <v>275</v>
      </c>
      <c r="F241" s="5"/>
      <c r="G241" s="7">
        <v>-12</v>
      </c>
    </row>
    <row r="242" spans="2:7" x14ac:dyDescent="0.25">
      <c r="B242" s="5">
        <v>46123</v>
      </c>
      <c r="C242" s="6" t="s">
        <v>584</v>
      </c>
      <c r="D242" s="6" t="s">
        <v>273</v>
      </c>
      <c r="E242" s="6" t="s">
        <v>22</v>
      </c>
      <c r="F242" s="5"/>
      <c r="G242" s="7">
        <v>-39.6</v>
      </c>
    </row>
    <row r="243" spans="2:7" x14ac:dyDescent="0.25">
      <c r="B243" s="5">
        <v>46123</v>
      </c>
      <c r="C243" s="6" t="s">
        <v>620</v>
      </c>
      <c r="D243" s="6" t="s">
        <v>273</v>
      </c>
      <c r="E243" s="6" t="s">
        <v>28</v>
      </c>
      <c r="F243" s="5"/>
      <c r="G243" s="7">
        <v>-43.9</v>
      </c>
    </row>
    <row r="244" spans="2:7" x14ac:dyDescent="0.25">
      <c r="B244" s="5">
        <v>46123</v>
      </c>
      <c r="C244" s="6" t="s">
        <v>622</v>
      </c>
      <c r="D244" s="6" t="s">
        <v>273</v>
      </c>
      <c r="E244" s="6" t="s">
        <v>275</v>
      </c>
      <c r="F244" s="5"/>
      <c r="G244" s="7">
        <v>-83.69</v>
      </c>
    </row>
    <row r="245" spans="2:7" x14ac:dyDescent="0.25">
      <c r="B245" s="5">
        <v>46124</v>
      </c>
      <c r="C245" s="6" t="s">
        <v>623</v>
      </c>
      <c r="D245" s="6" t="s">
        <v>273</v>
      </c>
      <c r="E245" s="6" t="s">
        <v>22</v>
      </c>
      <c r="F245" s="5"/>
      <c r="G245" s="7">
        <v>-19.04</v>
      </c>
    </row>
    <row r="246" spans="2:7" x14ac:dyDescent="0.25">
      <c r="B246" s="5">
        <v>46124</v>
      </c>
      <c r="C246" s="6" t="s">
        <v>584</v>
      </c>
      <c r="D246" s="6" t="s">
        <v>273</v>
      </c>
      <c r="E246" s="6" t="s">
        <v>22</v>
      </c>
      <c r="F246" s="5"/>
      <c r="G246" s="7">
        <v>-12</v>
      </c>
    </row>
    <row r="247" spans="2:7" x14ac:dyDescent="0.25">
      <c r="B247" s="5">
        <v>46124</v>
      </c>
      <c r="C247" s="6" t="s">
        <v>624</v>
      </c>
      <c r="D247" s="6" t="s">
        <v>273</v>
      </c>
      <c r="E247" s="6" t="s">
        <v>275</v>
      </c>
      <c r="F247" s="5"/>
      <c r="G247" s="7">
        <v>-9</v>
      </c>
    </row>
    <row r="248" spans="2:7" x14ac:dyDescent="0.25">
      <c r="B248" s="5">
        <v>46125</v>
      </c>
      <c r="C248" s="6" t="s">
        <v>584</v>
      </c>
      <c r="D248" s="6" t="s">
        <v>273</v>
      </c>
      <c r="E248" s="6" t="s">
        <v>22</v>
      </c>
      <c r="F248" s="5"/>
      <c r="G248" s="7">
        <v>-23.6</v>
      </c>
    </row>
    <row r="249" spans="2:7" x14ac:dyDescent="0.25">
      <c r="B249" s="5">
        <v>46125</v>
      </c>
      <c r="C249" s="6" t="s">
        <v>625</v>
      </c>
      <c r="D249" s="6" t="s">
        <v>273</v>
      </c>
      <c r="E249" s="6" t="s">
        <v>275</v>
      </c>
      <c r="F249" s="5"/>
      <c r="G249" s="7">
        <v>-37.200000000000003</v>
      </c>
    </row>
    <row r="250" spans="2:7" x14ac:dyDescent="0.25">
      <c r="B250" s="5">
        <v>46126</v>
      </c>
      <c r="C250" s="6" t="s">
        <v>584</v>
      </c>
      <c r="D250" s="6" t="s">
        <v>273</v>
      </c>
      <c r="E250" s="6" t="s">
        <v>22</v>
      </c>
      <c r="F250" s="5"/>
      <c r="G250" s="7">
        <v>-20.2</v>
      </c>
    </row>
    <row r="251" spans="2:7" x14ac:dyDescent="0.25">
      <c r="B251" s="5">
        <v>46127</v>
      </c>
      <c r="C251" s="6" t="s">
        <v>595</v>
      </c>
      <c r="D251" s="6" t="s">
        <v>273</v>
      </c>
      <c r="E251" s="6" t="s">
        <v>22</v>
      </c>
      <c r="F251" s="5"/>
      <c r="G251" s="7">
        <v>-4.8</v>
      </c>
    </row>
    <row r="252" spans="2:7" x14ac:dyDescent="0.25">
      <c r="B252" s="5">
        <v>46127</v>
      </c>
      <c r="C252" s="6" t="s">
        <v>551</v>
      </c>
      <c r="D252" s="6" t="s">
        <v>273</v>
      </c>
      <c r="E252" s="6" t="s">
        <v>275</v>
      </c>
      <c r="F252" s="5"/>
      <c r="G252" s="7">
        <v>-126</v>
      </c>
    </row>
    <row r="253" spans="2:7" x14ac:dyDescent="0.25">
      <c r="B253" s="5">
        <v>46128</v>
      </c>
      <c r="C253" s="6" t="s">
        <v>626</v>
      </c>
      <c r="D253" s="6" t="s">
        <v>273</v>
      </c>
      <c r="E253" s="6" t="s">
        <v>275</v>
      </c>
      <c r="F253" s="5"/>
      <c r="G253" s="7">
        <v>-10.5</v>
      </c>
    </row>
    <row r="254" spans="2:7" x14ac:dyDescent="0.25">
      <c r="B254" s="5">
        <v>46128</v>
      </c>
      <c r="C254" s="6" t="s">
        <v>623</v>
      </c>
      <c r="D254" s="6" t="s">
        <v>273</v>
      </c>
      <c r="E254" s="6" t="s">
        <v>22</v>
      </c>
      <c r="F254" s="5"/>
      <c r="G254" s="7">
        <v>-66.069999999999993</v>
      </c>
    </row>
    <row r="255" spans="2:7" x14ac:dyDescent="0.25">
      <c r="B255" s="5">
        <v>46128</v>
      </c>
      <c r="C255" s="6" t="s">
        <v>584</v>
      </c>
      <c r="D255" s="6" t="s">
        <v>273</v>
      </c>
      <c r="E255" s="6" t="s">
        <v>22</v>
      </c>
      <c r="F255" s="5"/>
      <c r="G255" s="7">
        <v>-3.6</v>
      </c>
    </row>
    <row r="256" spans="2:7" x14ac:dyDescent="0.25">
      <c r="B256" s="5">
        <v>46128</v>
      </c>
      <c r="C256" s="6" t="s">
        <v>627</v>
      </c>
      <c r="D256" s="6" t="s">
        <v>273</v>
      </c>
      <c r="E256" s="6" t="s">
        <v>275</v>
      </c>
      <c r="F256" s="5"/>
      <c r="G256" s="7">
        <v>-79.2</v>
      </c>
    </row>
    <row r="257" spans="2:7" x14ac:dyDescent="0.25">
      <c r="B257" s="5">
        <v>46128</v>
      </c>
      <c r="C257" s="6" t="s">
        <v>613</v>
      </c>
      <c r="D257" s="6" t="s">
        <v>273</v>
      </c>
      <c r="E257" s="6" t="s">
        <v>275</v>
      </c>
      <c r="F257" s="5"/>
      <c r="G257" s="7">
        <v>-99.9</v>
      </c>
    </row>
    <row r="258" spans="2:7" x14ac:dyDescent="0.25">
      <c r="B258" s="5">
        <v>46129</v>
      </c>
      <c r="C258" s="6" t="s">
        <v>611</v>
      </c>
      <c r="D258" s="6" t="s">
        <v>273</v>
      </c>
      <c r="E258" s="6" t="s">
        <v>275</v>
      </c>
      <c r="F258" s="5"/>
      <c r="G258" s="7">
        <v>-16.5</v>
      </c>
    </row>
    <row r="259" spans="2:7" x14ac:dyDescent="0.25">
      <c r="B259" s="5">
        <v>46129</v>
      </c>
      <c r="C259" s="6" t="s">
        <v>301</v>
      </c>
      <c r="D259" s="6" t="s">
        <v>273</v>
      </c>
      <c r="E259" s="6" t="s">
        <v>272</v>
      </c>
      <c r="F259" s="5"/>
      <c r="G259" s="7">
        <v>-104.9</v>
      </c>
    </row>
    <row r="260" spans="2:7" x14ac:dyDescent="0.25">
      <c r="B260" s="5">
        <v>46129</v>
      </c>
      <c r="C260" s="6" t="s">
        <v>623</v>
      </c>
      <c r="D260" s="6" t="s">
        <v>273</v>
      </c>
      <c r="E260" s="6" t="s">
        <v>22</v>
      </c>
      <c r="F260" s="5"/>
      <c r="G260" s="7">
        <v>-38.869999999999997</v>
      </c>
    </row>
    <row r="261" spans="2:7" x14ac:dyDescent="0.25">
      <c r="B261" s="5">
        <v>46129</v>
      </c>
      <c r="C261" s="6" t="s">
        <v>584</v>
      </c>
      <c r="D261" s="6" t="s">
        <v>273</v>
      </c>
      <c r="E261" s="6" t="s">
        <v>22</v>
      </c>
      <c r="F261" s="5"/>
      <c r="G261" s="7">
        <v>-11.6</v>
      </c>
    </row>
    <row r="262" spans="2:7" x14ac:dyDescent="0.25">
      <c r="B262" s="5">
        <v>46129</v>
      </c>
      <c r="C262" s="6" t="s">
        <v>584</v>
      </c>
      <c r="D262" s="6" t="s">
        <v>273</v>
      </c>
      <c r="E262" s="6" t="s">
        <v>22</v>
      </c>
      <c r="F262" s="5"/>
      <c r="G262" s="7">
        <v>-11.4</v>
      </c>
    </row>
    <row r="263" spans="2:7" x14ac:dyDescent="0.25">
      <c r="B263" s="5">
        <v>46130</v>
      </c>
      <c r="C263" s="6" t="s">
        <v>628</v>
      </c>
      <c r="D263" s="6" t="s">
        <v>273</v>
      </c>
      <c r="E263" s="6" t="s">
        <v>272</v>
      </c>
      <c r="F263" s="5"/>
      <c r="G263" s="7">
        <v>-97</v>
      </c>
    </row>
    <row r="264" spans="2:7" x14ac:dyDescent="0.25">
      <c r="B264" s="5">
        <v>46130</v>
      </c>
      <c r="C264" s="6" t="s">
        <v>629</v>
      </c>
      <c r="D264" s="6" t="s">
        <v>273</v>
      </c>
      <c r="E264" s="6" t="s">
        <v>272</v>
      </c>
      <c r="F264" s="5"/>
      <c r="G264" s="7">
        <v>-167.2</v>
      </c>
    </row>
    <row r="265" spans="2:7" x14ac:dyDescent="0.25">
      <c r="B265" s="5">
        <v>46131</v>
      </c>
      <c r="C265" s="6" t="s">
        <v>630</v>
      </c>
      <c r="D265" s="6" t="s">
        <v>273</v>
      </c>
      <c r="E265" s="6" t="s">
        <v>275</v>
      </c>
      <c r="F265" s="5"/>
      <c r="G265" s="7">
        <v>-5.95</v>
      </c>
    </row>
    <row r="266" spans="2:7" x14ac:dyDescent="0.25">
      <c r="B266" s="5">
        <v>46131</v>
      </c>
      <c r="C266" s="6" t="s">
        <v>584</v>
      </c>
      <c r="D266" s="6" t="s">
        <v>273</v>
      </c>
      <c r="E266" s="6" t="s">
        <v>22</v>
      </c>
      <c r="F266" s="5"/>
      <c r="G266" s="7">
        <v>-29.2</v>
      </c>
    </row>
    <row r="267" spans="2:7" x14ac:dyDescent="0.25">
      <c r="B267" s="5">
        <v>46131</v>
      </c>
      <c r="C267" s="6" t="s">
        <v>584</v>
      </c>
      <c r="D267" s="6" t="s">
        <v>273</v>
      </c>
      <c r="E267" s="6" t="s">
        <v>22</v>
      </c>
      <c r="F267" s="5"/>
      <c r="G267" s="7">
        <v>-5.5</v>
      </c>
    </row>
    <row r="268" spans="2:7" x14ac:dyDescent="0.25">
      <c r="B268" s="5">
        <v>46131</v>
      </c>
      <c r="C268" s="6" t="s">
        <v>538</v>
      </c>
      <c r="D268" s="6" t="s">
        <v>273</v>
      </c>
      <c r="E268" s="6" t="s">
        <v>34</v>
      </c>
      <c r="F268" s="5"/>
      <c r="G268" s="7">
        <v>-263.06</v>
      </c>
    </row>
    <row r="269" spans="2:7" x14ac:dyDescent="0.25">
      <c r="B269" s="5">
        <v>46132</v>
      </c>
      <c r="C269" s="6" t="s">
        <v>589</v>
      </c>
      <c r="D269" s="6" t="s">
        <v>273</v>
      </c>
      <c r="E269" s="6" t="s">
        <v>272</v>
      </c>
      <c r="F269" s="5"/>
      <c r="G269" s="7">
        <v>-5.2</v>
      </c>
    </row>
    <row r="270" spans="2:7" x14ac:dyDescent="0.25">
      <c r="B270" s="5">
        <v>46132</v>
      </c>
      <c r="C270" s="6" t="s">
        <v>553</v>
      </c>
      <c r="D270" s="6" t="s">
        <v>273</v>
      </c>
      <c r="E270" s="6" t="s">
        <v>100</v>
      </c>
      <c r="F270" s="5"/>
      <c r="G270" s="7">
        <v>-41.5</v>
      </c>
    </row>
    <row r="271" spans="2:7" x14ac:dyDescent="0.25">
      <c r="B271" s="5">
        <v>46132</v>
      </c>
      <c r="C271" s="6" t="s">
        <v>554</v>
      </c>
      <c r="D271" s="6" t="s">
        <v>273</v>
      </c>
      <c r="E271" s="6" t="s">
        <v>100</v>
      </c>
      <c r="F271" s="5"/>
      <c r="G271" s="7">
        <v>-83</v>
      </c>
    </row>
    <row r="272" spans="2:7" x14ac:dyDescent="0.25">
      <c r="B272" s="5">
        <v>46132</v>
      </c>
      <c r="C272" s="6" t="s">
        <v>631</v>
      </c>
      <c r="D272" s="6" t="s">
        <v>273</v>
      </c>
      <c r="E272" s="6" t="s">
        <v>100</v>
      </c>
      <c r="F272" s="5"/>
      <c r="G272" s="7">
        <v>83</v>
      </c>
    </row>
    <row r="273" spans="2:7" x14ac:dyDescent="0.25">
      <c r="B273" s="5">
        <v>46132</v>
      </c>
      <c r="C273" s="6" t="s">
        <v>632</v>
      </c>
      <c r="D273" s="6" t="s">
        <v>273</v>
      </c>
      <c r="E273" s="6" t="s">
        <v>100</v>
      </c>
      <c r="F273" s="5"/>
      <c r="G273" s="7">
        <v>41.5</v>
      </c>
    </row>
    <row r="274" spans="2:7" s="81" customFormat="1" x14ac:dyDescent="0.25">
      <c r="B274" s="5">
        <v>46132</v>
      </c>
      <c r="C274" s="6" t="s">
        <v>692</v>
      </c>
      <c r="D274" s="6" t="s">
        <v>273</v>
      </c>
      <c r="E274" s="6" t="s">
        <v>275</v>
      </c>
      <c r="F274" s="5"/>
      <c r="G274" s="7">
        <v>-23</v>
      </c>
    </row>
    <row r="275" spans="2:7" x14ac:dyDescent="0.25">
      <c r="B275" s="5">
        <v>46132</v>
      </c>
      <c r="C275" s="6" t="s">
        <v>693</v>
      </c>
      <c r="D275" s="6" t="s">
        <v>226</v>
      </c>
      <c r="E275" s="6" t="s">
        <v>275</v>
      </c>
      <c r="F275" s="5">
        <v>46159</v>
      </c>
      <c r="G275" s="7">
        <v>23</v>
      </c>
    </row>
    <row r="276" spans="2:7" s="81" customFormat="1" x14ac:dyDescent="0.25">
      <c r="B276" s="5">
        <v>46132</v>
      </c>
      <c r="C276" s="6" t="s">
        <v>694</v>
      </c>
      <c r="D276" s="6" t="s">
        <v>273</v>
      </c>
      <c r="E276" s="6" t="s">
        <v>28</v>
      </c>
      <c r="F276" s="5"/>
      <c r="G276" s="7">
        <v>-14</v>
      </c>
    </row>
    <row r="277" spans="2:7" x14ac:dyDescent="0.25">
      <c r="B277" s="5">
        <v>46132</v>
      </c>
      <c r="C277" s="6" t="s">
        <v>695</v>
      </c>
      <c r="D277" s="6" t="s">
        <v>226</v>
      </c>
      <c r="E277" s="6" t="s">
        <v>28</v>
      </c>
      <c r="F277" s="5"/>
      <c r="G277" s="7">
        <v>7</v>
      </c>
    </row>
    <row r="278" spans="2:7" s="81" customFormat="1" x14ac:dyDescent="0.25">
      <c r="B278" s="5">
        <v>46132</v>
      </c>
      <c r="C278" s="6" t="s">
        <v>696</v>
      </c>
      <c r="D278" s="6" t="s">
        <v>273</v>
      </c>
      <c r="E278" s="6" t="s">
        <v>275</v>
      </c>
      <c r="F278" s="5"/>
      <c r="G278" s="7">
        <v>-75.95</v>
      </c>
    </row>
    <row r="279" spans="2:7" x14ac:dyDescent="0.25">
      <c r="B279" s="5">
        <v>46132</v>
      </c>
      <c r="C279" s="6" t="s">
        <v>696</v>
      </c>
      <c r="D279" s="6" t="s">
        <v>226</v>
      </c>
      <c r="E279" s="6" t="s">
        <v>275</v>
      </c>
      <c r="F279" s="5"/>
      <c r="G279" s="7">
        <v>75.95</v>
      </c>
    </row>
    <row r="280" spans="2:7" x14ac:dyDescent="0.25">
      <c r="B280" s="5">
        <v>46132</v>
      </c>
      <c r="C280" s="6" t="s">
        <v>633</v>
      </c>
      <c r="D280" s="6" t="s">
        <v>273</v>
      </c>
      <c r="E280" s="6" t="s">
        <v>272</v>
      </c>
      <c r="F280" s="5"/>
      <c r="G280" s="7">
        <v>-76.97</v>
      </c>
    </row>
    <row r="281" spans="2:7" x14ac:dyDescent="0.25">
      <c r="B281" s="5">
        <v>46132</v>
      </c>
      <c r="C281" s="6" t="s">
        <v>592</v>
      </c>
      <c r="D281" s="6" t="s">
        <v>273</v>
      </c>
      <c r="E281" s="6" t="s">
        <v>26</v>
      </c>
      <c r="F281" s="5"/>
      <c r="G281" s="7">
        <v>-8.9</v>
      </c>
    </row>
    <row r="282" spans="2:7" x14ac:dyDescent="0.25">
      <c r="B282" s="5">
        <v>46132</v>
      </c>
      <c r="C282" s="6" t="s">
        <v>592</v>
      </c>
      <c r="D282" s="6" t="s">
        <v>273</v>
      </c>
      <c r="E282" s="6" t="s">
        <v>26</v>
      </c>
      <c r="F282" s="5"/>
      <c r="G282" s="7">
        <v>-8.9</v>
      </c>
    </row>
    <row r="283" spans="2:7" x14ac:dyDescent="0.25">
      <c r="B283" s="5">
        <v>46132</v>
      </c>
      <c r="C283" s="6" t="s">
        <v>592</v>
      </c>
      <c r="D283" s="6" t="s">
        <v>273</v>
      </c>
      <c r="E283" s="6" t="s">
        <v>26</v>
      </c>
      <c r="F283" s="5"/>
      <c r="G283" s="7">
        <v>-8.9</v>
      </c>
    </row>
    <row r="284" spans="2:7" s="81" customFormat="1" x14ac:dyDescent="0.25">
      <c r="B284" s="5">
        <v>46132</v>
      </c>
      <c r="C284" s="6" t="s">
        <v>592</v>
      </c>
      <c r="D284" s="6" t="s">
        <v>273</v>
      </c>
      <c r="E284" s="6" t="s">
        <v>26</v>
      </c>
      <c r="F284" s="5"/>
      <c r="G284" s="7">
        <v>-8.9</v>
      </c>
    </row>
    <row r="285" spans="2:7" x14ac:dyDescent="0.25">
      <c r="B285" s="5">
        <v>46132</v>
      </c>
      <c r="C285" s="6" t="s">
        <v>697</v>
      </c>
      <c r="D285" s="6" t="s">
        <v>226</v>
      </c>
      <c r="E285" s="6" t="s">
        <v>26</v>
      </c>
      <c r="F285" s="5"/>
      <c r="G285" s="7">
        <v>35.6</v>
      </c>
    </row>
    <row r="286" spans="2:7" x14ac:dyDescent="0.25">
      <c r="B286" s="5">
        <v>46132</v>
      </c>
      <c r="C286" s="6" t="s">
        <v>717</v>
      </c>
      <c r="D286" s="6" t="s">
        <v>87</v>
      </c>
      <c r="E286" s="6" t="s">
        <v>272</v>
      </c>
      <c r="F286" s="5"/>
      <c r="G286" s="7">
        <v>-19</v>
      </c>
    </row>
    <row r="287" spans="2:7" x14ac:dyDescent="0.25">
      <c r="B287" s="5">
        <v>46132</v>
      </c>
      <c r="C287" s="6" t="s">
        <v>718</v>
      </c>
      <c r="D287" s="6" t="s">
        <v>87</v>
      </c>
      <c r="E287" s="6" t="s">
        <v>22</v>
      </c>
      <c r="F287" s="5"/>
      <c r="G287" s="7">
        <v>-5</v>
      </c>
    </row>
    <row r="288" spans="2:7" x14ac:dyDescent="0.25">
      <c r="B288" s="5">
        <v>46133</v>
      </c>
      <c r="C288" s="6" t="s">
        <v>571</v>
      </c>
      <c r="D288" s="6" t="s">
        <v>87</v>
      </c>
      <c r="E288" s="6" t="s">
        <v>135</v>
      </c>
      <c r="F288" s="5"/>
      <c r="G288" s="7">
        <v>13601.12</v>
      </c>
    </row>
    <row r="289" spans="2:7" x14ac:dyDescent="0.25">
      <c r="B289" s="5">
        <v>46133</v>
      </c>
      <c r="C289" s="6" t="s">
        <v>595</v>
      </c>
      <c r="D289" s="6" t="s">
        <v>273</v>
      </c>
      <c r="E289" s="6" t="s">
        <v>22</v>
      </c>
      <c r="F289" s="5"/>
      <c r="G289" s="7">
        <v>-3.6</v>
      </c>
    </row>
    <row r="290" spans="2:7" x14ac:dyDescent="0.25">
      <c r="B290" s="5">
        <v>46133</v>
      </c>
      <c r="C290" s="6" t="s">
        <v>634</v>
      </c>
      <c r="D290" s="6" t="s">
        <v>273</v>
      </c>
      <c r="E290" s="6" t="s">
        <v>272</v>
      </c>
      <c r="F290" s="5"/>
      <c r="G290" s="7">
        <v>-86.1</v>
      </c>
    </row>
    <row r="291" spans="2:7" x14ac:dyDescent="0.25">
      <c r="B291" s="5">
        <v>46133</v>
      </c>
      <c r="C291" s="6" t="s">
        <v>635</v>
      </c>
      <c r="D291" s="6" t="s">
        <v>273</v>
      </c>
      <c r="E291" s="6" t="s">
        <v>24</v>
      </c>
      <c r="F291" s="5"/>
      <c r="G291" s="7">
        <v>-90.47</v>
      </c>
    </row>
    <row r="292" spans="2:7" x14ac:dyDescent="0.25">
      <c r="B292" s="5">
        <v>46133</v>
      </c>
      <c r="C292" s="6" t="s">
        <v>721</v>
      </c>
      <c r="D292" s="6" t="s">
        <v>87</v>
      </c>
      <c r="E292" s="6" t="s">
        <v>274</v>
      </c>
      <c r="F292" s="5"/>
      <c r="G292" s="7">
        <v>-150</v>
      </c>
    </row>
    <row r="293" spans="2:7" x14ac:dyDescent="0.25">
      <c r="B293" s="5">
        <v>46134</v>
      </c>
      <c r="C293" s="6" t="s">
        <v>595</v>
      </c>
      <c r="D293" s="6" t="s">
        <v>273</v>
      </c>
      <c r="E293" s="6" t="s">
        <v>22</v>
      </c>
      <c r="F293" s="5"/>
      <c r="G293" s="7">
        <v>-3.6</v>
      </c>
    </row>
    <row r="294" spans="2:7" x14ac:dyDescent="0.25">
      <c r="B294" s="5">
        <v>46134</v>
      </c>
      <c r="C294" s="6" t="s">
        <v>595</v>
      </c>
      <c r="D294" s="6" t="s">
        <v>273</v>
      </c>
      <c r="E294" s="6" t="s">
        <v>22</v>
      </c>
      <c r="F294" s="5"/>
      <c r="G294" s="7">
        <v>-18</v>
      </c>
    </row>
    <row r="295" spans="2:7" x14ac:dyDescent="0.25">
      <c r="B295" s="5">
        <v>46134</v>
      </c>
      <c r="C295" s="6" t="s">
        <v>636</v>
      </c>
      <c r="D295" s="6" t="s">
        <v>273</v>
      </c>
      <c r="E295" s="6" t="s">
        <v>100</v>
      </c>
      <c r="F295" s="5"/>
      <c r="G295" s="7">
        <v>-27</v>
      </c>
    </row>
    <row r="296" spans="2:7" x14ac:dyDescent="0.25">
      <c r="B296" s="5">
        <v>46134</v>
      </c>
      <c r="C296" s="6" t="s">
        <v>637</v>
      </c>
      <c r="D296" s="6" t="s">
        <v>273</v>
      </c>
      <c r="E296" s="6" t="s">
        <v>275</v>
      </c>
      <c r="F296" s="5"/>
      <c r="G296" s="7">
        <v>-125</v>
      </c>
    </row>
    <row r="297" spans="2:7" x14ac:dyDescent="0.25">
      <c r="B297" s="5">
        <v>46134</v>
      </c>
      <c r="C297" s="6" t="s">
        <v>638</v>
      </c>
      <c r="D297" s="6" t="s">
        <v>273</v>
      </c>
      <c r="E297" s="6" t="s">
        <v>272</v>
      </c>
      <c r="F297" s="5"/>
      <c r="G297" s="7">
        <v>-99</v>
      </c>
    </row>
    <row r="298" spans="2:7" x14ac:dyDescent="0.25">
      <c r="B298" s="5">
        <v>46134</v>
      </c>
      <c r="C298" s="6" t="s">
        <v>584</v>
      </c>
      <c r="D298" s="6" t="s">
        <v>273</v>
      </c>
      <c r="E298" s="6" t="s">
        <v>22</v>
      </c>
      <c r="F298" s="5"/>
      <c r="G298" s="7">
        <v>-6.2</v>
      </c>
    </row>
    <row r="299" spans="2:7" x14ac:dyDescent="0.25">
      <c r="B299" s="5">
        <v>46134</v>
      </c>
      <c r="C299" s="6" t="s">
        <v>719</v>
      </c>
      <c r="D299" s="6" t="s">
        <v>87</v>
      </c>
      <c r="E299" s="6" t="s">
        <v>275</v>
      </c>
      <c r="F299" s="5"/>
      <c r="G299" s="7">
        <v>-110</v>
      </c>
    </row>
    <row r="300" spans="2:7" x14ac:dyDescent="0.25">
      <c r="B300" s="5">
        <v>46134</v>
      </c>
      <c r="C300" s="6" t="s">
        <v>720</v>
      </c>
      <c r="D300" s="6" t="s">
        <v>87</v>
      </c>
      <c r="E300" s="6" t="s">
        <v>272</v>
      </c>
      <c r="F300" s="5"/>
      <c r="G300" s="7">
        <v>-175</v>
      </c>
    </row>
    <row r="301" spans="2:7" x14ac:dyDescent="0.25">
      <c r="B301" s="5">
        <v>46135</v>
      </c>
      <c r="C301" s="6" t="s">
        <v>581</v>
      </c>
      <c r="D301" s="6" t="s">
        <v>273</v>
      </c>
      <c r="E301" s="6" t="s">
        <v>100</v>
      </c>
      <c r="F301" s="5"/>
      <c r="G301" s="7">
        <v>-29.9</v>
      </c>
    </row>
    <row r="302" spans="2:7" x14ac:dyDescent="0.25">
      <c r="B302" s="5">
        <v>46135</v>
      </c>
      <c r="C302" s="6" t="s">
        <v>584</v>
      </c>
      <c r="D302" s="6" t="s">
        <v>273</v>
      </c>
      <c r="E302" s="6" t="s">
        <v>22</v>
      </c>
      <c r="F302" s="5"/>
      <c r="G302" s="7">
        <v>-24.8</v>
      </c>
    </row>
    <row r="303" spans="2:7" x14ac:dyDescent="0.25">
      <c r="B303" s="5">
        <v>46135</v>
      </c>
      <c r="C303" s="6" t="s">
        <v>722</v>
      </c>
      <c r="D303" s="6" t="s">
        <v>87</v>
      </c>
      <c r="E303" s="6" t="s">
        <v>275</v>
      </c>
      <c r="F303" s="5"/>
      <c r="G303" s="7">
        <v>-70</v>
      </c>
    </row>
    <row r="304" spans="2:7" x14ac:dyDescent="0.25">
      <c r="B304" s="5">
        <v>46136</v>
      </c>
      <c r="C304" s="6" t="s">
        <v>639</v>
      </c>
      <c r="D304" s="6" t="s">
        <v>273</v>
      </c>
      <c r="E304" s="6" t="s">
        <v>28</v>
      </c>
      <c r="F304" s="5"/>
      <c r="G304" s="7">
        <v>-28.55</v>
      </c>
    </row>
    <row r="305" spans="2:7" x14ac:dyDescent="0.25">
      <c r="B305" s="5">
        <v>46136</v>
      </c>
      <c r="C305" s="6" t="s">
        <v>584</v>
      </c>
      <c r="D305" s="6" t="s">
        <v>273</v>
      </c>
      <c r="E305" s="6" t="s">
        <v>22</v>
      </c>
      <c r="F305" s="5"/>
      <c r="G305" s="7">
        <v>-10</v>
      </c>
    </row>
    <row r="306" spans="2:7" x14ac:dyDescent="0.25">
      <c r="B306" s="5">
        <v>46136</v>
      </c>
      <c r="C306" s="6" t="s">
        <v>584</v>
      </c>
      <c r="D306" s="6" t="s">
        <v>273</v>
      </c>
      <c r="E306" s="6" t="s">
        <v>22</v>
      </c>
      <c r="F306" s="5"/>
      <c r="G306" s="7">
        <v>-6.8</v>
      </c>
    </row>
    <row r="307" spans="2:7" x14ac:dyDescent="0.25">
      <c r="B307" s="5">
        <v>46136</v>
      </c>
      <c r="C307" s="6" t="s">
        <v>640</v>
      </c>
      <c r="D307" s="6" t="s">
        <v>273</v>
      </c>
      <c r="E307" s="6" t="s">
        <v>275</v>
      </c>
      <c r="F307" s="5"/>
      <c r="G307" s="7">
        <v>-950</v>
      </c>
    </row>
    <row r="308" spans="2:7" x14ac:dyDescent="0.25">
      <c r="B308" s="5">
        <v>46136</v>
      </c>
      <c r="C308" s="6" t="s">
        <v>723</v>
      </c>
      <c r="D308" s="6" t="s">
        <v>87</v>
      </c>
      <c r="E308" s="6" t="s">
        <v>28</v>
      </c>
      <c r="F308" s="5"/>
      <c r="G308" s="7">
        <v>-30</v>
      </c>
    </row>
    <row r="309" spans="2:7" x14ac:dyDescent="0.25">
      <c r="B309" s="5">
        <v>46136</v>
      </c>
      <c r="C309" s="6" t="s">
        <v>724</v>
      </c>
      <c r="D309" s="6" t="s">
        <v>226</v>
      </c>
      <c r="E309" s="6" t="s">
        <v>28</v>
      </c>
      <c r="F309" s="5"/>
      <c r="G309" s="7">
        <v>15</v>
      </c>
    </row>
    <row r="310" spans="2:7" x14ac:dyDescent="0.25">
      <c r="B310" s="5">
        <v>46137</v>
      </c>
      <c r="C310" s="6" t="s">
        <v>611</v>
      </c>
      <c r="D310" s="6" t="s">
        <v>273</v>
      </c>
      <c r="E310" s="6" t="s">
        <v>275</v>
      </c>
      <c r="F310" s="5"/>
      <c r="G310" s="7">
        <v>-32.49</v>
      </c>
    </row>
    <row r="311" spans="2:7" x14ac:dyDescent="0.25">
      <c r="B311" s="5">
        <v>46137</v>
      </c>
      <c r="C311" s="6" t="s">
        <v>582</v>
      </c>
      <c r="D311" s="6" t="s">
        <v>273</v>
      </c>
      <c r="E311" s="6" t="s">
        <v>100</v>
      </c>
      <c r="F311" s="5"/>
      <c r="G311" s="7">
        <v>-8</v>
      </c>
    </row>
    <row r="312" spans="2:7" x14ac:dyDescent="0.25">
      <c r="B312" s="5">
        <v>46137</v>
      </c>
      <c r="C312" s="6" t="s">
        <v>582</v>
      </c>
      <c r="D312" s="6" t="s">
        <v>273</v>
      </c>
      <c r="E312" s="6" t="s">
        <v>100</v>
      </c>
      <c r="F312" s="5"/>
      <c r="G312" s="7">
        <v>-8</v>
      </c>
    </row>
    <row r="313" spans="2:7" x14ac:dyDescent="0.25">
      <c r="B313" s="5">
        <v>46137</v>
      </c>
      <c r="C313" s="6" t="s">
        <v>582</v>
      </c>
      <c r="D313" s="6" t="s">
        <v>273</v>
      </c>
      <c r="E313" s="6" t="s">
        <v>100</v>
      </c>
      <c r="F313" s="5"/>
      <c r="G313" s="7">
        <v>-8</v>
      </c>
    </row>
    <row r="314" spans="2:7" x14ac:dyDescent="0.25">
      <c r="B314" s="5">
        <v>46137</v>
      </c>
      <c r="C314" s="6" t="s">
        <v>583</v>
      </c>
      <c r="D314" s="6" t="s">
        <v>273</v>
      </c>
      <c r="E314" s="6" t="s">
        <v>100</v>
      </c>
      <c r="F314" s="5"/>
      <c r="G314" s="7">
        <v>-8</v>
      </c>
    </row>
    <row r="315" spans="2:7" x14ac:dyDescent="0.25">
      <c r="B315" s="5">
        <v>46137</v>
      </c>
      <c r="C315" s="6" t="s">
        <v>583</v>
      </c>
      <c r="D315" s="6" t="s">
        <v>273</v>
      </c>
      <c r="E315" s="6" t="s">
        <v>100</v>
      </c>
      <c r="F315" s="5"/>
      <c r="G315" s="7">
        <v>-8</v>
      </c>
    </row>
    <row r="316" spans="2:7" x14ac:dyDescent="0.25">
      <c r="B316" s="5">
        <v>46137</v>
      </c>
      <c r="C316" s="6" t="s">
        <v>583</v>
      </c>
      <c r="D316" s="6" t="s">
        <v>273</v>
      </c>
      <c r="E316" s="6" t="s">
        <v>100</v>
      </c>
      <c r="F316" s="5"/>
      <c r="G316" s="7">
        <v>-10</v>
      </c>
    </row>
    <row r="317" spans="2:7" x14ac:dyDescent="0.25">
      <c r="B317" s="5">
        <v>46137</v>
      </c>
      <c r="C317" s="6" t="s">
        <v>641</v>
      </c>
      <c r="D317" s="6" t="s">
        <v>273</v>
      </c>
      <c r="E317" s="6" t="s">
        <v>275</v>
      </c>
      <c r="F317" s="5"/>
      <c r="G317" s="7">
        <v>-188.91</v>
      </c>
    </row>
    <row r="318" spans="2:7" x14ac:dyDescent="0.25">
      <c r="B318" s="5">
        <v>46137</v>
      </c>
      <c r="C318" s="6" t="s">
        <v>301</v>
      </c>
      <c r="D318" s="6" t="s">
        <v>273</v>
      </c>
      <c r="E318" s="6" t="s">
        <v>272</v>
      </c>
      <c r="F318" s="5"/>
      <c r="G318" s="7">
        <v>-104.9</v>
      </c>
    </row>
    <row r="319" spans="2:7" x14ac:dyDescent="0.25">
      <c r="B319" s="5">
        <v>46137</v>
      </c>
      <c r="C319" s="6" t="s">
        <v>642</v>
      </c>
      <c r="D319" s="6" t="s">
        <v>273</v>
      </c>
      <c r="E319" s="6" t="s">
        <v>275</v>
      </c>
      <c r="F319" s="5"/>
      <c r="G319" s="7">
        <v>-8.6</v>
      </c>
    </row>
    <row r="320" spans="2:7" x14ac:dyDescent="0.25">
      <c r="B320" s="5">
        <v>46137</v>
      </c>
      <c r="C320" s="6" t="s">
        <v>725</v>
      </c>
      <c r="D320" s="6" t="s">
        <v>87</v>
      </c>
      <c r="E320" s="6" t="s">
        <v>22</v>
      </c>
      <c r="F320" s="5"/>
      <c r="G320" s="7">
        <v>-28</v>
      </c>
    </row>
    <row r="321" spans="2:7" x14ac:dyDescent="0.25">
      <c r="B321" s="5">
        <v>46137</v>
      </c>
      <c r="C321" s="6" t="s">
        <v>726</v>
      </c>
      <c r="D321" s="6" t="s">
        <v>87</v>
      </c>
      <c r="E321" s="6" t="s">
        <v>22</v>
      </c>
      <c r="F321" s="5"/>
      <c r="G321" s="7">
        <v>-55</v>
      </c>
    </row>
    <row r="322" spans="2:7" x14ac:dyDescent="0.25">
      <c r="B322" s="5">
        <v>46138</v>
      </c>
      <c r="C322" s="6" t="s">
        <v>643</v>
      </c>
      <c r="D322" s="6" t="s">
        <v>273</v>
      </c>
      <c r="E322" s="6" t="s">
        <v>275</v>
      </c>
      <c r="F322" s="5"/>
      <c r="G322" s="7">
        <v>-40.9</v>
      </c>
    </row>
    <row r="323" spans="2:7" x14ac:dyDescent="0.25">
      <c r="B323" s="5">
        <v>46138</v>
      </c>
      <c r="C323" s="6" t="s">
        <v>644</v>
      </c>
      <c r="D323" s="6" t="s">
        <v>273</v>
      </c>
      <c r="E323" s="6" t="s">
        <v>22</v>
      </c>
      <c r="F323" s="5"/>
      <c r="G323" s="7">
        <v>-379.59</v>
      </c>
    </row>
    <row r="324" spans="2:7" x14ac:dyDescent="0.25">
      <c r="B324" s="5">
        <v>46138</v>
      </c>
      <c r="C324" s="6" t="s">
        <v>622</v>
      </c>
      <c r="D324" s="6" t="s">
        <v>273</v>
      </c>
      <c r="E324" s="6" t="s">
        <v>272</v>
      </c>
      <c r="F324" s="5"/>
      <c r="G324" s="7">
        <v>-29</v>
      </c>
    </row>
    <row r="325" spans="2:7" x14ac:dyDescent="0.25">
      <c r="B325" s="5">
        <v>46139</v>
      </c>
      <c r="C325" s="6" t="s">
        <v>645</v>
      </c>
      <c r="D325" s="6" t="s">
        <v>273</v>
      </c>
      <c r="E325" s="6" t="s">
        <v>100</v>
      </c>
      <c r="F325" s="5"/>
      <c r="G325" s="7">
        <v>-37</v>
      </c>
    </row>
    <row r="326" spans="2:7" x14ac:dyDescent="0.25">
      <c r="B326" s="5">
        <v>46139</v>
      </c>
      <c r="C326" s="6" t="s">
        <v>623</v>
      </c>
      <c r="D326" s="6" t="s">
        <v>273</v>
      </c>
      <c r="E326" s="6" t="s">
        <v>22</v>
      </c>
      <c r="F326" s="5"/>
      <c r="G326" s="7">
        <v>-23.36</v>
      </c>
    </row>
    <row r="327" spans="2:7" s="81" customFormat="1" x14ac:dyDescent="0.25">
      <c r="B327" s="5">
        <v>46139</v>
      </c>
      <c r="C327" s="6" t="s">
        <v>646</v>
      </c>
      <c r="D327" s="6" t="s">
        <v>273</v>
      </c>
      <c r="E327" s="6" t="s">
        <v>275</v>
      </c>
      <c r="F327" s="5"/>
      <c r="G327" s="7">
        <v>-70.760000000000005</v>
      </c>
    </row>
    <row r="328" spans="2:7" x14ac:dyDescent="0.25">
      <c r="B328" s="5">
        <v>46139</v>
      </c>
      <c r="C328" s="6" t="s">
        <v>584</v>
      </c>
      <c r="D328" s="6" t="s">
        <v>273</v>
      </c>
      <c r="E328" s="6" t="s">
        <v>22</v>
      </c>
      <c r="F328" s="5"/>
      <c r="G328" s="7">
        <v>-5</v>
      </c>
    </row>
    <row r="329" spans="2:7" s="81" customFormat="1" x14ac:dyDescent="0.25">
      <c r="B329" s="5">
        <v>46139</v>
      </c>
      <c r="C329" s="6" t="s">
        <v>538</v>
      </c>
      <c r="D329" s="6" t="s">
        <v>273</v>
      </c>
      <c r="E329" s="6" t="s">
        <v>34</v>
      </c>
      <c r="F329" s="5"/>
      <c r="G329" s="7">
        <v>-264.16000000000003</v>
      </c>
    </row>
    <row r="330" spans="2:7" x14ac:dyDescent="0.25">
      <c r="B330" s="5">
        <v>46139</v>
      </c>
      <c r="C330" s="6" t="s">
        <v>647</v>
      </c>
      <c r="D330" s="6" t="s">
        <v>273</v>
      </c>
      <c r="E330" s="6" t="s">
        <v>272</v>
      </c>
      <c r="F330" s="5"/>
      <c r="G330" s="7">
        <v>-20.99</v>
      </c>
    </row>
    <row r="331" spans="2:7" x14ac:dyDescent="0.25">
      <c r="B331" s="5">
        <v>46139</v>
      </c>
      <c r="C331" s="6" t="s">
        <v>648</v>
      </c>
      <c r="D331" s="6" t="s">
        <v>273</v>
      </c>
      <c r="E331" s="6" t="s">
        <v>100</v>
      </c>
      <c r="F331" s="5"/>
      <c r="G331" s="7">
        <v>-40.01</v>
      </c>
    </row>
    <row r="332" spans="2:7" x14ac:dyDescent="0.25">
      <c r="B332" s="5">
        <v>46139</v>
      </c>
      <c r="C332" s="6" t="s">
        <v>727</v>
      </c>
      <c r="D332" s="6" t="s">
        <v>226</v>
      </c>
      <c r="E332" s="6" t="s">
        <v>26</v>
      </c>
      <c r="F332" s="5"/>
      <c r="G332" s="7">
        <v>15</v>
      </c>
    </row>
    <row r="333" spans="2:7" x14ac:dyDescent="0.25">
      <c r="B333" s="5">
        <v>46140</v>
      </c>
      <c r="C333" s="6" t="s">
        <v>649</v>
      </c>
      <c r="D333" s="6" t="s">
        <v>273</v>
      </c>
      <c r="E333" s="6" t="s">
        <v>275</v>
      </c>
      <c r="F333" s="5"/>
      <c r="G333" s="7">
        <v>-11.98</v>
      </c>
    </row>
    <row r="334" spans="2:7" x14ac:dyDescent="0.25">
      <c r="B334" s="5">
        <v>46140</v>
      </c>
      <c r="C334" s="6" t="s">
        <v>650</v>
      </c>
      <c r="D334" s="6" t="s">
        <v>273</v>
      </c>
      <c r="E334" s="6" t="s">
        <v>275</v>
      </c>
      <c r="F334" s="5"/>
      <c r="G334" s="7">
        <v>-79.989999999999995</v>
      </c>
    </row>
    <row r="335" spans="2:7" x14ac:dyDescent="0.25">
      <c r="B335" s="5">
        <v>46140</v>
      </c>
      <c r="C335" s="6" t="s">
        <v>698</v>
      </c>
      <c r="D335" s="6" t="s">
        <v>273</v>
      </c>
      <c r="E335" s="6" t="s">
        <v>275</v>
      </c>
      <c r="F335" s="5"/>
      <c r="G335" s="7">
        <v>-69.95</v>
      </c>
    </row>
    <row r="336" spans="2:7" s="81" customFormat="1" x14ac:dyDescent="0.25">
      <c r="B336" s="5">
        <v>46140</v>
      </c>
      <c r="C336" s="6" t="s">
        <v>651</v>
      </c>
      <c r="D336" s="6" t="s">
        <v>273</v>
      </c>
      <c r="E336" s="6" t="s">
        <v>272</v>
      </c>
      <c r="F336" s="5"/>
      <c r="G336" s="7">
        <v>-90.75</v>
      </c>
    </row>
    <row r="337" spans="2:7" x14ac:dyDescent="0.25">
      <c r="B337" s="5">
        <v>46140</v>
      </c>
      <c r="C337" s="6" t="s">
        <v>699</v>
      </c>
      <c r="D337" s="6" t="s">
        <v>273</v>
      </c>
      <c r="E337" s="6" t="s">
        <v>275</v>
      </c>
      <c r="F337" s="5"/>
      <c r="G337" s="7">
        <v>-100</v>
      </c>
    </row>
    <row r="338" spans="2:7" s="81" customFormat="1" x14ac:dyDescent="0.25">
      <c r="B338" s="5">
        <v>46140</v>
      </c>
      <c r="C338" s="6" t="s">
        <v>700</v>
      </c>
      <c r="D338" s="6" t="s">
        <v>226</v>
      </c>
      <c r="E338" s="6" t="s">
        <v>275</v>
      </c>
      <c r="F338" s="5"/>
      <c r="G338" s="7">
        <v>100</v>
      </c>
    </row>
    <row r="339" spans="2:7" x14ac:dyDescent="0.25">
      <c r="B339" s="5">
        <v>46140</v>
      </c>
      <c r="C339" s="6" t="s">
        <v>652</v>
      </c>
      <c r="D339" s="6" t="s">
        <v>273</v>
      </c>
      <c r="E339" s="6" t="s">
        <v>275</v>
      </c>
      <c r="F339" s="5"/>
      <c r="G339" s="7">
        <v>-1054.68</v>
      </c>
    </row>
    <row r="340" spans="2:7" x14ac:dyDescent="0.25">
      <c r="B340" s="5">
        <v>46140</v>
      </c>
      <c r="C340" s="6" t="s">
        <v>701</v>
      </c>
      <c r="D340" s="6" t="s">
        <v>226</v>
      </c>
      <c r="E340" s="6" t="s">
        <v>275</v>
      </c>
      <c r="F340" s="5"/>
      <c r="G340" s="7">
        <v>1054.68</v>
      </c>
    </row>
    <row r="341" spans="2:7" x14ac:dyDescent="0.25">
      <c r="B341" s="5">
        <v>46140</v>
      </c>
      <c r="C341" s="6" t="s">
        <v>617</v>
      </c>
      <c r="D341" s="6" t="s">
        <v>273</v>
      </c>
      <c r="E341" s="6" t="s">
        <v>22</v>
      </c>
      <c r="F341" s="5"/>
      <c r="G341" s="7">
        <v>-14.99</v>
      </c>
    </row>
    <row r="342" spans="2:7" x14ac:dyDescent="0.25">
      <c r="B342" s="5">
        <v>46140</v>
      </c>
      <c r="C342" s="6" t="s">
        <v>591</v>
      </c>
      <c r="D342" s="6" t="s">
        <v>273</v>
      </c>
      <c r="E342" s="6" t="s">
        <v>272</v>
      </c>
      <c r="F342" s="5"/>
      <c r="G342" s="7">
        <v>-12.99</v>
      </c>
    </row>
    <row r="343" spans="2:7" x14ac:dyDescent="0.25">
      <c r="B343" s="5">
        <v>46140</v>
      </c>
      <c r="C343" s="6" t="s">
        <v>726</v>
      </c>
      <c r="D343" s="6" t="s">
        <v>87</v>
      </c>
      <c r="E343" s="6" t="s">
        <v>22</v>
      </c>
      <c r="F343" s="5"/>
      <c r="G343" s="7">
        <v>-32</v>
      </c>
    </row>
    <row r="344" spans="2:7" s="81" customFormat="1" x14ac:dyDescent="0.25">
      <c r="B344" s="5">
        <v>46141</v>
      </c>
      <c r="C344" s="6" t="s">
        <v>586</v>
      </c>
      <c r="D344" s="6" t="s">
        <v>273</v>
      </c>
      <c r="E344" s="6" t="s">
        <v>272</v>
      </c>
      <c r="F344" s="5"/>
      <c r="G344" s="7">
        <v>-19</v>
      </c>
    </row>
    <row r="345" spans="2:7" x14ac:dyDescent="0.25">
      <c r="B345" s="5">
        <v>46141</v>
      </c>
      <c r="C345" s="6" t="s">
        <v>653</v>
      </c>
      <c r="D345" s="6" t="s">
        <v>273</v>
      </c>
      <c r="E345" s="6" t="s">
        <v>272</v>
      </c>
      <c r="F345" s="5"/>
      <c r="G345" s="7">
        <v>-120.34</v>
      </c>
    </row>
    <row r="346" spans="2:7" x14ac:dyDescent="0.25">
      <c r="B346" s="5">
        <v>46141</v>
      </c>
      <c r="C346" s="6" t="s">
        <v>702</v>
      </c>
      <c r="D346" s="6" t="s">
        <v>273</v>
      </c>
      <c r="E346" s="6" t="s">
        <v>275</v>
      </c>
      <c r="F346" s="5"/>
      <c r="G346" s="7">
        <v>-16.899999999999999</v>
      </c>
    </row>
    <row r="347" spans="2:7" x14ac:dyDescent="0.25">
      <c r="B347" s="5">
        <v>46141</v>
      </c>
      <c r="C347" s="6" t="s">
        <v>703</v>
      </c>
      <c r="D347" s="6" t="s">
        <v>226</v>
      </c>
      <c r="E347" s="6" t="s">
        <v>275</v>
      </c>
      <c r="F347" s="5"/>
      <c r="G347" s="7">
        <v>16.899999999999999</v>
      </c>
    </row>
    <row r="348" spans="2:7" x14ac:dyDescent="0.25">
      <c r="B348" s="5">
        <v>46141</v>
      </c>
      <c r="C348" s="6" t="s">
        <v>704</v>
      </c>
      <c r="D348" s="6" t="s">
        <v>273</v>
      </c>
      <c r="E348" s="6" t="s">
        <v>28</v>
      </c>
      <c r="F348" s="5"/>
      <c r="G348" s="7">
        <v>-40</v>
      </c>
    </row>
    <row r="349" spans="2:7" x14ac:dyDescent="0.25">
      <c r="B349" s="5">
        <v>46141</v>
      </c>
      <c r="C349" s="6" t="s">
        <v>705</v>
      </c>
      <c r="D349" s="6" t="s">
        <v>226</v>
      </c>
      <c r="E349" s="6" t="s">
        <v>28</v>
      </c>
      <c r="F349" s="5"/>
      <c r="G349" s="7">
        <v>20</v>
      </c>
    </row>
    <row r="350" spans="2:7" x14ac:dyDescent="0.25">
      <c r="B350" s="5">
        <v>46141</v>
      </c>
      <c r="C350" s="6" t="s">
        <v>591</v>
      </c>
      <c r="D350" s="6" t="s">
        <v>273</v>
      </c>
      <c r="E350" s="6" t="s">
        <v>272</v>
      </c>
      <c r="F350" s="5"/>
      <c r="G350" s="7">
        <v>-5.89</v>
      </c>
    </row>
    <row r="351" spans="2:7" x14ac:dyDescent="0.25">
      <c r="B351" s="5">
        <v>46141</v>
      </c>
      <c r="C351" s="6" t="s">
        <v>591</v>
      </c>
      <c r="D351" s="6" t="s">
        <v>273</v>
      </c>
      <c r="E351" s="6" t="s">
        <v>272</v>
      </c>
      <c r="F351" s="5"/>
      <c r="G351" s="7">
        <v>-3.99</v>
      </c>
    </row>
    <row r="352" spans="2:7" x14ac:dyDescent="0.25">
      <c r="B352" s="5">
        <v>46141</v>
      </c>
      <c r="C352" s="6" t="s">
        <v>654</v>
      </c>
      <c r="D352" s="6" t="s">
        <v>273</v>
      </c>
      <c r="E352" s="6" t="s">
        <v>26</v>
      </c>
      <c r="F352" s="5"/>
      <c r="G352" s="7">
        <v>-8.9</v>
      </c>
    </row>
    <row r="353" spans="2:7" s="81" customFormat="1" x14ac:dyDescent="0.25">
      <c r="B353" s="5">
        <v>46141</v>
      </c>
      <c r="C353" s="6" t="s">
        <v>654</v>
      </c>
      <c r="D353" s="6" t="s">
        <v>273</v>
      </c>
      <c r="E353" s="6" t="s">
        <v>26</v>
      </c>
      <c r="F353" s="5"/>
      <c r="G353" s="7">
        <v>-8.9</v>
      </c>
    </row>
    <row r="354" spans="2:7" x14ac:dyDescent="0.25">
      <c r="B354" s="5">
        <v>46141</v>
      </c>
      <c r="C354" s="6" t="s">
        <v>654</v>
      </c>
      <c r="D354" s="6" t="s">
        <v>273</v>
      </c>
      <c r="E354" s="6" t="s">
        <v>26</v>
      </c>
      <c r="F354" s="5"/>
      <c r="G354" s="7">
        <v>-8.9</v>
      </c>
    </row>
    <row r="355" spans="2:7" x14ac:dyDescent="0.25">
      <c r="B355" s="5">
        <v>46141</v>
      </c>
      <c r="C355" s="6" t="s">
        <v>706</v>
      </c>
      <c r="D355" s="6" t="s">
        <v>226</v>
      </c>
      <c r="E355" s="6" t="s">
        <v>26</v>
      </c>
      <c r="F355" s="5"/>
      <c r="G355" s="7">
        <v>26.7</v>
      </c>
    </row>
    <row r="356" spans="2:7" x14ac:dyDescent="0.25">
      <c r="B356" s="5">
        <v>46141</v>
      </c>
      <c r="C356" s="6" t="s">
        <v>594</v>
      </c>
      <c r="D356" s="6" t="s">
        <v>273</v>
      </c>
      <c r="E356" s="6" t="s">
        <v>272</v>
      </c>
      <c r="F356" s="5"/>
      <c r="G356" s="7">
        <v>-20.84</v>
      </c>
    </row>
    <row r="357" spans="2:7" x14ac:dyDescent="0.25">
      <c r="B357" s="5">
        <v>46141</v>
      </c>
      <c r="C357" s="6" t="s">
        <v>655</v>
      </c>
      <c r="D357" s="6" t="s">
        <v>273</v>
      </c>
      <c r="E357" s="6" t="s">
        <v>272</v>
      </c>
      <c r="F357" s="5"/>
      <c r="G357" s="7">
        <v>-12.87</v>
      </c>
    </row>
    <row r="358" spans="2:7" s="81" customFormat="1" x14ac:dyDescent="0.25">
      <c r="B358" s="5">
        <v>46141</v>
      </c>
      <c r="C358" s="6" t="s">
        <v>690</v>
      </c>
      <c r="D358" s="6" t="s">
        <v>87</v>
      </c>
      <c r="E358" s="6" t="s">
        <v>274</v>
      </c>
      <c r="F358" s="5"/>
      <c r="G358" s="7">
        <v>-250</v>
      </c>
    </row>
    <row r="359" spans="2:7" x14ac:dyDescent="0.25">
      <c r="B359" s="5">
        <v>46142</v>
      </c>
      <c r="C359" s="6" t="s">
        <v>570</v>
      </c>
      <c r="D359" s="6" t="s">
        <v>273</v>
      </c>
      <c r="E359" s="6" t="s">
        <v>100</v>
      </c>
      <c r="F359" s="5"/>
      <c r="G359" s="7">
        <v>-44.9</v>
      </c>
    </row>
    <row r="360" spans="2:7" x14ac:dyDescent="0.25">
      <c r="B360" s="5">
        <v>46142</v>
      </c>
      <c r="C360" s="6" t="s">
        <v>727</v>
      </c>
      <c r="D360" s="6" t="s">
        <v>226</v>
      </c>
      <c r="E360" s="6" t="s">
        <v>26</v>
      </c>
      <c r="F360" s="5"/>
      <c r="G360" s="7">
        <v>4000</v>
      </c>
    </row>
    <row r="361" spans="2:7" x14ac:dyDescent="0.25">
      <c r="B361" s="5">
        <v>46143</v>
      </c>
      <c r="C361" s="6" t="s">
        <v>607</v>
      </c>
      <c r="D361" s="6" t="s">
        <v>273</v>
      </c>
      <c r="E361" s="6" t="s">
        <v>100</v>
      </c>
      <c r="F361" s="5"/>
      <c r="G361" s="7">
        <v>-34.9</v>
      </c>
    </row>
    <row r="362" spans="2:7" x14ac:dyDescent="0.25">
      <c r="B362" s="5">
        <v>46143</v>
      </c>
      <c r="C362" s="6" t="s">
        <v>584</v>
      </c>
      <c r="D362" s="6" t="s">
        <v>273</v>
      </c>
      <c r="E362" s="6" t="s">
        <v>22</v>
      </c>
      <c r="F362" s="5"/>
      <c r="G362" s="7">
        <v>-10.5</v>
      </c>
    </row>
    <row r="363" spans="2:7" x14ac:dyDescent="0.25">
      <c r="B363" s="5">
        <v>46143</v>
      </c>
      <c r="C363" s="6" t="s">
        <v>656</v>
      </c>
      <c r="D363" s="6" t="s">
        <v>273</v>
      </c>
      <c r="E363" s="6" t="s">
        <v>22</v>
      </c>
      <c r="F363" s="5"/>
      <c r="G363" s="7">
        <v>-5</v>
      </c>
    </row>
    <row r="364" spans="2:7" x14ac:dyDescent="0.25">
      <c r="B364" s="5">
        <v>46145</v>
      </c>
      <c r="C364" s="6" t="s">
        <v>657</v>
      </c>
      <c r="D364" s="6" t="s">
        <v>273</v>
      </c>
      <c r="E364" s="6" t="s">
        <v>22</v>
      </c>
      <c r="F364" s="5"/>
      <c r="G364" s="7">
        <v>-14.39</v>
      </c>
    </row>
    <row r="365" spans="2:7" x14ac:dyDescent="0.25">
      <c r="B365" s="5">
        <v>46145</v>
      </c>
      <c r="C365" s="6" t="s">
        <v>658</v>
      </c>
      <c r="D365" s="6" t="s">
        <v>273</v>
      </c>
      <c r="E365" s="6" t="s">
        <v>26</v>
      </c>
      <c r="F365" s="5"/>
      <c r="G365" s="7">
        <v>-57</v>
      </c>
    </row>
    <row r="366" spans="2:7" x14ac:dyDescent="0.25">
      <c r="B366" s="5">
        <v>46145</v>
      </c>
      <c r="C366" s="6" t="s">
        <v>707</v>
      </c>
      <c r="D366" s="6" t="s">
        <v>273</v>
      </c>
      <c r="E366" s="6" t="s">
        <v>26</v>
      </c>
      <c r="F366" s="5"/>
      <c r="G366" s="7">
        <v>57</v>
      </c>
    </row>
    <row r="367" spans="2:7" x14ac:dyDescent="0.25">
      <c r="B367" s="5">
        <v>46146</v>
      </c>
      <c r="C367" s="6" t="s">
        <v>584</v>
      </c>
      <c r="D367" s="6" t="s">
        <v>273</v>
      </c>
      <c r="E367" s="6" t="s">
        <v>22</v>
      </c>
      <c r="F367" s="5"/>
      <c r="G367" s="7">
        <v>-9.8000000000000007</v>
      </c>
    </row>
    <row r="368" spans="2:7" x14ac:dyDescent="0.25">
      <c r="B368" s="5">
        <v>46146</v>
      </c>
      <c r="C368" s="6" t="s">
        <v>688</v>
      </c>
      <c r="D368" s="6" t="s">
        <v>87</v>
      </c>
      <c r="E368" s="6" t="s">
        <v>100</v>
      </c>
      <c r="F368" s="5"/>
      <c r="G368" s="7">
        <v>-207</v>
      </c>
    </row>
    <row r="369" spans="2:7" x14ac:dyDescent="0.25">
      <c r="B369" s="5">
        <v>46147</v>
      </c>
      <c r="C369" s="6" t="s">
        <v>728</v>
      </c>
      <c r="D369" s="6" t="s">
        <v>87</v>
      </c>
      <c r="E369" s="6" t="s">
        <v>32</v>
      </c>
      <c r="F369" s="5"/>
      <c r="G369" s="7">
        <v>-55</v>
      </c>
    </row>
    <row r="370" spans="2:7" x14ac:dyDescent="0.25">
      <c r="B370" s="5">
        <v>46148</v>
      </c>
      <c r="C370" s="6" t="s">
        <v>708</v>
      </c>
      <c r="D370" s="6" t="s">
        <v>273</v>
      </c>
      <c r="E370" s="6" t="s">
        <v>22</v>
      </c>
      <c r="F370" s="5"/>
      <c r="G370" s="7">
        <v>-29.9</v>
      </c>
    </row>
    <row r="371" spans="2:7" x14ac:dyDescent="0.25">
      <c r="B371" s="5">
        <v>46148</v>
      </c>
      <c r="C371" s="6" t="s">
        <v>708</v>
      </c>
      <c r="D371" s="6" t="s">
        <v>273</v>
      </c>
      <c r="E371" s="6" t="s">
        <v>22</v>
      </c>
      <c r="F371" s="5"/>
      <c r="G371" s="7">
        <v>-21.99</v>
      </c>
    </row>
    <row r="372" spans="2:7" x14ac:dyDescent="0.25">
      <c r="B372" s="5">
        <v>46148</v>
      </c>
      <c r="C372" s="6" t="s">
        <v>541</v>
      </c>
      <c r="D372" s="6" t="s">
        <v>273</v>
      </c>
      <c r="E372" s="6" t="s">
        <v>100</v>
      </c>
      <c r="F372" s="5"/>
      <c r="G372" s="7">
        <v>-198.75</v>
      </c>
    </row>
    <row r="373" spans="2:7" x14ac:dyDescent="0.25">
      <c r="B373" s="5">
        <v>46148</v>
      </c>
      <c r="C373" s="6" t="s">
        <v>710</v>
      </c>
      <c r="D373" s="6" t="s">
        <v>709</v>
      </c>
      <c r="E373" s="6" t="s">
        <v>100</v>
      </c>
      <c r="F373" s="5"/>
      <c r="G373" s="7">
        <v>198.75</v>
      </c>
    </row>
    <row r="374" spans="2:7" x14ac:dyDescent="0.25">
      <c r="B374" s="5">
        <v>46148</v>
      </c>
      <c r="C374" s="6" t="s">
        <v>711</v>
      </c>
      <c r="D374" s="6" t="s">
        <v>273</v>
      </c>
      <c r="E374" s="6" t="s">
        <v>275</v>
      </c>
      <c r="F374" s="5"/>
      <c r="G374" s="7">
        <v>-69.989999999999995</v>
      </c>
    </row>
    <row r="375" spans="2:7" s="81" customFormat="1" x14ac:dyDescent="0.25">
      <c r="B375" s="5">
        <v>46148</v>
      </c>
      <c r="C375" s="6" t="s">
        <v>595</v>
      </c>
      <c r="D375" s="6" t="s">
        <v>273</v>
      </c>
      <c r="E375" s="6" t="s">
        <v>22</v>
      </c>
      <c r="F375" s="5"/>
      <c r="G375" s="7">
        <v>-3</v>
      </c>
    </row>
    <row r="376" spans="2:7" x14ac:dyDescent="0.25">
      <c r="B376" s="5">
        <v>46148</v>
      </c>
      <c r="C376" s="6" t="s">
        <v>614</v>
      </c>
      <c r="D376" s="6" t="s">
        <v>273</v>
      </c>
      <c r="E376" s="6" t="s">
        <v>100</v>
      </c>
      <c r="F376" s="5"/>
      <c r="G376" s="7">
        <v>-609.20000000000005</v>
      </c>
    </row>
    <row r="377" spans="2:7" x14ac:dyDescent="0.25">
      <c r="B377" s="5">
        <v>46148</v>
      </c>
      <c r="C377" s="6" t="s">
        <v>623</v>
      </c>
      <c r="D377" s="6" t="s">
        <v>273</v>
      </c>
      <c r="E377" s="6" t="s">
        <v>22</v>
      </c>
      <c r="F377" s="5"/>
      <c r="G377" s="7">
        <v>-33.229999999999997</v>
      </c>
    </row>
    <row r="378" spans="2:7" x14ac:dyDescent="0.25">
      <c r="B378" s="5">
        <v>46148</v>
      </c>
      <c r="C378" s="6" t="s">
        <v>603</v>
      </c>
      <c r="D378" s="6" t="s">
        <v>273</v>
      </c>
      <c r="E378" s="6" t="s">
        <v>272</v>
      </c>
      <c r="F378" s="5"/>
      <c r="G378" s="7">
        <v>-35.9</v>
      </c>
    </row>
    <row r="379" spans="2:7" s="81" customFormat="1" x14ac:dyDescent="0.25">
      <c r="B379" s="5">
        <v>46148</v>
      </c>
      <c r="C379" s="6" t="s">
        <v>656</v>
      </c>
      <c r="D379" s="6" t="s">
        <v>273</v>
      </c>
      <c r="E379" s="6" t="s">
        <v>22</v>
      </c>
      <c r="F379" s="5"/>
      <c r="G379" s="7">
        <v>-10</v>
      </c>
    </row>
    <row r="380" spans="2:7" x14ac:dyDescent="0.25">
      <c r="B380" s="5">
        <v>46148</v>
      </c>
      <c r="C380" s="6" t="s">
        <v>659</v>
      </c>
      <c r="D380" s="6" t="s">
        <v>273</v>
      </c>
      <c r="E380" s="6" t="s">
        <v>275</v>
      </c>
      <c r="F380" s="5"/>
      <c r="G380" s="7">
        <v>-23.9</v>
      </c>
    </row>
    <row r="381" spans="2:7" x14ac:dyDescent="0.25">
      <c r="B381" s="5">
        <v>46148</v>
      </c>
      <c r="C381" s="6" t="s">
        <v>613</v>
      </c>
      <c r="D381" s="6" t="s">
        <v>273</v>
      </c>
      <c r="E381" s="6" t="s">
        <v>100</v>
      </c>
      <c r="F381" s="5"/>
      <c r="G381" s="7">
        <v>-103.14</v>
      </c>
    </row>
    <row r="382" spans="2:7" s="81" customFormat="1" x14ac:dyDescent="0.25">
      <c r="B382" s="5">
        <v>46148</v>
      </c>
      <c r="C382" s="6" t="s">
        <v>660</v>
      </c>
      <c r="D382" s="6" t="s">
        <v>273</v>
      </c>
      <c r="E382" s="6" t="s">
        <v>24</v>
      </c>
      <c r="F382" s="5"/>
      <c r="G382" s="7">
        <v>-128.44999999999999</v>
      </c>
    </row>
    <row r="383" spans="2:7" x14ac:dyDescent="0.25">
      <c r="B383" s="5">
        <v>46148</v>
      </c>
      <c r="C383" s="6" t="s">
        <v>729</v>
      </c>
      <c r="D383" s="6" t="s">
        <v>87</v>
      </c>
      <c r="E383" s="6" t="s">
        <v>275</v>
      </c>
      <c r="F383" s="5"/>
      <c r="G383" s="7">
        <v>-93.95</v>
      </c>
    </row>
    <row r="384" spans="2:7" x14ac:dyDescent="0.25">
      <c r="B384" s="5">
        <v>46148</v>
      </c>
      <c r="C384" s="6" t="s">
        <v>730</v>
      </c>
      <c r="D384" s="6" t="s">
        <v>709</v>
      </c>
      <c r="E384" s="6" t="s">
        <v>275</v>
      </c>
      <c r="F384" s="5"/>
      <c r="G384" s="7">
        <v>93.95</v>
      </c>
    </row>
    <row r="385" spans="2:7" x14ac:dyDescent="0.25">
      <c r="B385" s="5">
        <v>46148</v>
      </c>
      <c r="C385" s="6" t="s">
        <v>731</v>
      </c>
      <c r="D385" s="6" t="s">
        <v>87</v>
      </c>
      <c r="E385" s="6" t="s">
        <v>272</v>
      </c>
      <c r="F385" s="5"/>
      <c r="G385" s="7">
        <v>-10</v>
      </c>
    </row>
    <row r="386" spans="2:7" x14ac:dyDescent="0.25">
      <c r="B386" s="5">
        <v>46149</v>
      </c>
      <c r="C386" s="6" t="s">
        <v>595</v>
      </c>
      <c r="D386" s="6" t="s">
        <v>273</v>
      </c>
      <c r="E386" s="6" t="s">
        <v>22</v>
      </c>
      <c r="F386" s="5"/>
      <c r="G386" s="7">
        <v>-10.199999999999999</v>
      </c>
    </row>
    <row r="387" spans="2:7" x14ac:dyDescent="0.25">
      <c r="B387" s="5">
        <v>46149</v>
      </c>
      <c r="C387" s="6" t="s">
        <v>661</v>
      </c>
      <c r="D387" s="6" t="s">
        <v>273</v>
      </c>
      <c r="E387" s="6" t="s">
        <v>272</v>
      </c>
      <c r="F387" s="5"/>
      <c r="G387" s="7">
        <v>-30</v>
      </c>
    </row>
    <row r="388" spans="2:7" x14ac:dyDescent="0.25">
      <c r="B388" s="5">
        <v>46149</v>
      </c>
      <c r="C388" s="6" t="s">
        <v>662</v>
      </c>
      <c r="D388" s="6" t="s">
        <v>273</v>
      </c>
      <c r="E388" s="6" t="s">
        <v>275</v>
      </c>
      <c r="F388" s="5"/>
      <c r="G388" s="7">
        <v>188.91</v>
      </c>
    </row>
    <row r="389" spans="2:7" x14ac:dyDescent="0.25">
      <c r="B389" s="5">
        <v>46149</v>
      </c>
      <c r="C389" s="6" t="s">
        <v>663</v>
      </c>
      <c r="D389" s="6" t="s">
        <v>273</v>
      </c>
      <c r="E389" s="6" t="s">
        <v>275</v>
      </c>
      <c r="F389" s="5"/>
      <c r="G389" s="7">
        <v>-31.95</v>
      </c>
    </row>
    <row r="390" spans="2:7" x14ac:dyDescent="0.25">
      <c r="B390" s="5">
        <v>46149</v>
      </c>
      <c r="C390" s="6" t="s">
        <v>538</v>
      </c>
      <c r="D390" s="6" t="s">
        <v>273</v>
      </c>
      <c r="E390" s="6" t="s">
        <v>34</v>
      </c>
      <c r="F390" s="5"/>
      <c r="G390" s="7">
        <v>-188.99</v>
      </c>
    </row>
    <row r="391" spans="2:7" x14ac:dyDescent="0.25">
      <c r="B391" s="5">
        <v>46149</v>
      </c>
      <c r="C391" s="6" t="s">
        <v>732</v>
      </c>
      <c r="D391" s="6" t="s">
        <v>87</v>
      </c>
      <c r="E391" s="6" t="s">
        <v>275</v>
      </c>
      <c r="F391" s="5"/>
      <c r="G391" s="7">
        <v>-25</v>
      </c>
    </row>
    <row r="392" spans="2:7" x14ac:dyDescent="0.25">
      <c r="B392" s="5">
        <v>46149</v>
      </c>
      <c r="C392" s="6" t="s">
        <v>723</v>
      </c>
      <c r="D392" s="6" t="s">
        <v>87</v>
      </c>
      <c r="E392" s="6" t="s">
        <v>28</v>
      </c>
      <c r="F392" s="5"/>
      <c r="G392" s="7">
        <v>-50</v>
      </c>
    </row>
    <row r="393" spans="2:7" x14ac:dyDescent="0.25">
      <c r="B393" s="5">
        <v>46149</v>
      </c>
      <c r="C393" s="6" t="s">
        <v>733</v>
      </c>
      <c r="D393" s="6" t="s">
        <v>226</v>
      </c>
      <c r="E393" s="6" t="s">
        <v>28</v>
      </c>
      <c r="F393" s="5"/>
      <c r="G393" s="7">
        <v>25</v>
      </c>
    </row>
    <row r="394" spans="2:7" x14ac:dyDescent="0.25">
      <c r="B394" s="5">
        <v>46150</v>
      </c>
      <c r="C394" s="6" t="s">
        <v>586</v>
      </c>
      <c r="D394" s="6" t="s">
        <v>273</v>
      </c>
      <c r="E394" s="6" t="s">
        <v>272</v>
      </c>
      <c r="F394" s="5"/>
      <c r="G394" s="7">
        <v>-19</v>
      </c>
    </row>
    <row r="395" spans="2:7" x14ac:dyDescent="0.25">
      <c r="B395" s="5">
        <v>46150</v>
      </c>
      <c r="C395" s="6" t="s">
        <v>712</v>
      </c>
      <c r="D395" s="6" t="s">
        <v>273</v>
      </c>
      <c r="E395" s="6" t="s">
        <v>275</v>
      </c>
      <c r="F395" s="5"/>
      <c r="G395" s="7">
        <v>-19.899999999999999</v>
      </c>
    </row>
    <row r="396" spans="2:7" x14ac:dyDescent="0.25">
      <c r="B396" s="5">
        <v>46150</v>
      </c>
      <c r="C396" s="6" t="s">
        <v>713</v>
      </c>
      <c r="D396" s="6" t="s">
        <v>226</v>
      </c>
      <c r="E396" s="6" t="s">
        <v>275</v>
      </c>
      <c r="F396" s="5"/>
      <c r="G396" s="7">
        <v>19.899999999999999</v>
      </c>
    </row>
    <row r="397" spans="2:7" x14ac:dyDescent="0.25">
      <c r="B397" s="5">
        <v>46150</v>
      </c>
      <c r="C397" s="6" t="s">
        <v>661</v>
      </c>
      <c r="D397" s="6" t="s">
        <v>273</v>
      </c>
      <c r="E397" s="6" t="s">
        <v>272</v>
      </c>
      <c r="F397" s="5"/>
      <c r="G397" s="7">
        <v>-30</v>
      </c>
    </row>
    <row r="398" spans="2:7" x14ac:dyDescent="0.25">
      <c r="B398" s="5">
        <v>46150</v>
      </c>
      <c r="C398" s="6" t="s">
        <v>653</v>
      </c>
      <c r="D398" s="6" t="s">
        <v>273</v>
      </c>
      <c r="E398" s="6" t="s">
        <v>272</v>
      </c>
      <c r="F398" s="5"/>
      <c r="G398" s="7">
        <v>-120.34</v>
      </c>
    </row>
    <row r="399" spans="2:7" x14ac:dyDescent="0.25">
      <c r="B399" s="5">
        <v>46150</v>
      </c>
      <c r="C399" s="6" t="s">
        <v>704</v>
      </c>
      <c r="D399" s="6" t="s">
        <v>273</v>
      </c>
      <c r="E399" s="6" t="s">
        <v>28</v>
      </c>
      <c r="F399" s="5"/>
      <c r="G399" s="7">
        <v>-40</v>
      </c>
    </row>
    <row r="400" spans="2:7" x14ac:dyDescent="0.25">
      <c r="B400" s="5">
        <v>46150</v>
      </c>
      <c r="C400" s="6" t="s">
        <v>705</v>
      </c>
      <c r="D400" s="6" t="s">
        <v>226</v>
      </c>
      <c r="E400" s="6" t="s">
        <v>28</v>
      </c>
      <c r="F400" s="5"/>
      <c r="G400" s="7">
        <v>20</v>
      </c>
    </row>
    <row r="401" spans="2:7" x14ac:dyDescent="0.25">
      <c r="B401" s="5">
        <v>46150</v>
      </c>
      <c r="C401" s="6" t="s">
        <v>664</v>
      </c>
      <c r="D401" s="6" t="s">
        <v>273</v>
      </c>
      <c r="E401" s="6" t="s">
        <v>26</v>
      </c>
      <c r="F401" s="5"/>
      <c r="G401" s="7">
        <v>-8.9</v>
      </c>
    </row>
    <row r="402" spans="2:7" x14ac:dyDescent="0.25">
      <c r="B402" s="5">
        <v>46150</v>
      </c>
      <c r="C402" s="6" t="s">
        <v>664</v>
      </c>
      <c r="D402" s="6" t="s">
        <v>273</v>
      </c>
      <c r="E402" s="6" t="s">
        <v>26</v>
      </c>
      <c r="F402" s="5"/>
      <c r="G402" s="7">
        <v>-8.9</v>
      </c>
    </row>
    <row r="403" spans="2:7" x14ac:dyDescent="0.25">
      <c r="B403" s="5">
        <v>46150</v>
      </c>
      <c r="C403" s="6" t="s">
        <v>714</v>
      </c>
      <c r="D403" s="6" t="s">
        <v>226</v>
      </c>
      <c r="E403" s="6" t="s">
        <v>26</v>
      </c>
      <c r="F403" s="5"/>
      <c r="G403" s="7">
        <v>17.8</v>
      </c>
    </row>
    <row r="404" spans="2:7" x14ac:dyDescent="0.25">
      <c r="B404" s="5">
        <v>46150</v>
      </c>
      <c r="C404" s="6" t="s">
        <v>655</v>
      </c>
      <c r="D404" s="6" t="s">
        <v>273</v>
      </c>
      <c r="E404" s="6" t="s">
        <v>272</v>
      </c>
      <c r="F404" s="5"/>
      <c r="G404" s="7">
        <v>-12.87</v>
      </c>
    </row>
    <row r="405" spans="2:7" x14ac:dyDescent="0.25">
      <c r="B405" s="5">
        <v>46151</v>
      </c>
      <c r="C405" s="6" t="s">
        <v>656</v>
      </c>
      <c r="D405" s="6" t="s">
        <v>273</v>
      </c>
      <c r="E405" s="6" t="s">
        <v>22</v>
      </c>
      <c r="F405" s="5"/>
      <c r="G405" s="7">
        <v>-6.2</v>
      </c>
    </row>
    <row r="406" spans="2:7" x14ac:dyDescent="0.25">
      <c r="B406" s="5">
        <v>46151</v>
      </c>
      <c r="C406" s="6" t="s">
        <v>665</v>
      </c>
      <c r="D406" s="6" t="s">
        <v>273</v>
      </c>
      <c r="E406" s="6" t="s">
        <v>22</v>
      </c>
      <c r="F406" s="5"/>
      <c r="G406" s="7">
        <v>-20.99</v>
      </c>
    </row>
    <row r="407" spans="2:7" x14ac:dyDescent="0.25">
      <c r="B407" s="5">
        <v>46152</v>
      </c>
      <c r="C407" s="6" t="s">
        <v>619</v>
      </c>
      <c r="D407" s="6" t="s">
        <v>273</v>
      </c>
      <c r="E407" s="6" t="s">
        <v>100</v>
      </c>
      <c r="F407" s="5"/>
      <c r="G407" s="7">
        <v>-350</v>
      </c>
    </row>
    <row r="408" spans="2:7" s="81" customFormat="1" x14ac:dyDescent="0.25">
      <c r="B408" s="5">
        <v>46152</v>
      </c>
      <c r="C408" s="6" t="s">
        <v>666</v>
      </c>
      <c r="D408" s="6" t="s">
        <v>273</v>
      </c>
      <c r="E408" s="6" t="s">
        <v>272</v>
      </c>
      <c r="F408" s="5"/>
      <c r="G408" s="7">
        <v>-6</v>
      </c>
    </row>
    <row r="409" spans="2:7" x14ac:dyDescent="0.25">
      <c r="B409" s="5">
        <v>46152</v>
      </c>
      <c r="C409" s="6" t="s">
        <v>667</v>
      </c>
      <c r="D409" s="6" t="s">
        <v>273</v>
      </c>
      <c r="E409" s="6" t="s">
        <v>272</v>
      </c>
      <c r="F409" s="5"/>
      <c r="G409" s="7">
        <v>-84</v>
      </c>
    </row>
    <row r="410" spans="2:7" x14ac:dyDescent="0.25">
      <c r="B410" s="5">
        <v>46152</v>
      </c>
      <c r="C410" s="6" t="s">
        <v>715</v>
      </c>
      <c r="D410" s="6" t="s">
        <v>273</v>
      </c>
      <c r="E410" s="6" t="s">
        <v>275</v>
      </c>
      <c r="F410" s="5"/>
      <c r="G410" s="7">
        <v>-1.02</v>
      </c>
    </row>
    <row r="411" spans="2:7" x14ac:dyDescent="0.25">
      <c r="B411" s="5">
        <v>46152</v>
      </c>
      <c r="C411" s="6" t="s">
        <v>620</v>
      </c>
      <c r="D411" s="6" t="s">
        <v>273</v>
      </c>
      <c r="E411" s="6" t="s">
        <v>28</v>
      </c>
      <c r="F411" s="5"/>
      <c r="G411" s="7">
        <v>-43.9</v>
      </c>
    </row>
    <row r="412" spans="2:7" x14ac:dyDescent="0.25">
      <c r="B412" s="5">
        <v>46152</v>
      </c>
      <c r="C412" s="6" t="s">
        <v>689</v>
      </c>
      <c r="D412" s="6" t="s">
        <v>87</v>
      </c>
      <c r="E412" s="6" t="s">
        <v>274</v>
      </c>
      <c r="F412" s="5"/>
      <c r="G412" s="7">
        <v>-115.52</v>
      </c>
    </row>
    <row r="413" spans="2:7" x14ac:dyDescent="0.25">
      <c r="B413" s="5">
        <v>46153</v>
      </c>
      <c r="C413" s="6" t="s">
        <v>656</v>
      </c>
      <c r="D413" s="6" t="s">
        <v>273</v>
      </c>
      <c r="E413" s="6" t="s">
        <v>22</v>
      </c>
      <c r="F413" s="5"/>
      <c r="G413" s="7">
        <v>-12.8</v>
      </c>
    </row>
    <row r="414" spans="2:7" x14ac:dyDescent="0.25">
      <c r="B414" s="5">
        <v>46153</v>
      </c>
      <c r="C414" s="6" t="s">
        <v>620</v>
      </c>
      <c r="D414" s="6" t="s">
        <v>273</v>
      </c>
      <c r="E414" s="6" t="s">
        <v>28</v>
      </c>
      <c r="F414" s="5"/>
      <c r="G414" s="7">
        <v>-43.9</v>
      </c>
    </row>
    <row r="415" spans="2:7" x14ac:dyDescent="0.25">
      <c r="B415" s="5">
        <v>46154</v>
      </c>
      <c r="C415" s="6" t="s">
        <v>134</v>
      </c>
      <c r="D415" s="6" t="s">
        <v>89</v>
      </c>
      <c r="E415" s="6" t="s">
        <v>135</v>
      </c>
      <c r="F415" s="5"/>
      <c r="G415" s="7">
        <v>1993.83</v>
      </c>
    </row>
    <row r="416" spans="2:7" x14ac:dyDescent="0.25">
      <c r="B416" s="5">
        <v>46154</v>
      </c>
      <c r="C416" s="6" t="s">
        <v>708</v>
      </c>
      <c r="D416" s="6" t="s">
        <v>273</v>
      </c>
      <c r="E416" s="6" t="s">
        <v>22</v>
      </c>
      <c r="F416" s="5"/>
      <c r="G416" s="7">
        <v>-11.49</v>
      </c>
    </row>
    <row r="417" spans="2:7" x14ac:dyDescent="0.25">
      <c r="B417" s="5">
        <v>46154</v>
      </c>
      <c r="C417" s="6" t="s">
        <v>716</v>
      </c>
      <c r="D417" s="6" t="s">
        <v>273</v>
      </c>
      <c r="E417" s="6" t="s">
        <v>100</v>
      </c>
      <c r="F417" s="5"/>
      <c r="G417" s="7">
        <v>-83.18</v>
      </c>
    </row>
    <row r="418" spans="2:7" x14ac:dyDescent="0.25">
      <c r="B418" s="5">
        <v>46154</v>
      </c>
      <c r="C418" s="6" t="s">
        <v>668</v>
      </c>
      <c r="D418" s="6" t="s">
        <v>273</v>
      </c>
      <c r="E418" s="6" t="s">
        <v>22</v>
      </c>
      <c r="F418" s="5"/>
      <c r="G418" s="7">
        <v>-552.6</v>
      </c>
    </row>
    <row r="419" spans="2:7" x14ac:dyDescent="0.25">
      <c r="B419" s="5">
        <v>46154</v>
      </c>
      <c r="C419" s="6" t="s">
        <v>623</v>
      </c>
      <c r="D419" s="6" t="s">
        <v>273</v>
      </c>
      <c r="E419" s="6" t="s">
        <v>22</v>
      </c>
      <c r="F419" s="5"/>
      <c r="G419" s="7">
        <v>-23.74</v>
      </c>
    </row>
    <row r="420" spans="2:7" x14ac:dyDescent="0.25">
      <c r="B420" s="5">
        <v>46154</v>
      </c>
      <c r="C420" s="6" t="s">
        <v>656</v>
      </c>
      <c r="D420" s="6" t="s">
        <v>273</v>
      </c>
      <c r="E420" s="6" t="s">
        <v>22</v>
      </c>
      <c r="F420" s="5"/>
      <c r="G420" s="7">
        <v>-6.8</v>
      </c>
    </row>
    <row r="421" spans="2:7" x14ac:dyDescent="0.25">
      <c r="B421" s="5">
        <v>46154</v>
      </c>
      <c r="C421" s="6" t="s">
        <v>734</v>
      </c>
      <c r="D421" s="6" t="s">
        <v>87</v>
      </c>
      <c r="E421" s="6" t="s">
        <v>272</v>
      </c>
      <c r="F421" s="5"/>
      <c r="G421" s="7">
        <v>-6.75</v>
      </c>
    </row>
    <row r="422" spans="2:7" x14ac:dyDescent="0.25">
      <c r="B422" s="5">
        <v>46154</v>
      </c>
      <c r="C422" s="6" t="s">
        <v>735</v>
      </c>
      <c r="D422" s="6" t="s">
        <v>87</v>
      </c>
      <c r="E422" s="6" t="s">
        <v>275</v>
      </c>
      <c r="F422" s="5"/>
      <c r="G422" s="7">
        <v>-1100</v>
      </c>
    </row>
    <row r="423" spans="2:7" x14ac:dyDescent="0.25">
      <c r="B423" s="5">
        <v>46154</v>
      </c>
      <c r="C423" s="6" t="s">
        <v>735</v>
      </c>
      <c r="D423" s="6" t="s">
        <v>87</v>
      </c>
      <c r="E423" s="6" t="s">
        <v>275</v>
      </c>
      <c r="F423" s="5"/>
      <c r="G423" s="7">
        <v>-1700</v>
      </c>
    </row>
    <row r="424" spans="2:7" x14ac:dyDescent="0.25">
      <c r="B424" s="5">
        <v>46154</v>
      </c>
      <c r="C424" s="6" t="s">
        <v>728</v>
      </c>
      <c r="D424" s="6" t="s">
        <v>87</v>
      </c>
      <c r="E424" s="6" t="s">
        <v>32</v>
      </c>
      <c r="F424" s="5"/>
      <c r="G424" s="7">
        <v>-60</v>
      </c>
    </row>
    <row r="425" spans="2:7" x14ac:dyDescent="0.25">
      <c r="B425" s="5">
        <v>46155</v>
      </c>
      <c r="C425" s="6" t="s">
        <v>595</v>
      </c>
      <c r="D425" s="6" t="s">
        <v>273</v>
      </c>
      <c r="E425" s="6" t="s">
        <v>22</v>
      </c>
      <c r="F425" s="5"/>
      <c r="G425" s="7">
        <v>-13.5</v>
      </c>
    </row>
    <row r="426" spans="2:7" x14ac:dyDescent="0.25">
      <c r="B426" s="5">
        <v>46155</v>
      </c>
      <c r="C426" s="6" t="s">
        <v>734</v>
      </c>
      <c r="D426" s="6" t="s">
        <v>87</v>
      </c>
      <c r="E426" s="6" t="s">
        <v>272</v>
      </c>
      <c r="F426" s="5"/>
      <c r="G426" s="7">
        <v>-16.190000000000001</v>
      </c>
    </row>
    <row r="427" spans="2:7" x14ac:dyDescent="0.25">
      <c r="B427" s="5">
        <v>46155</v>
      </c>
      <c r="C427" s="6" t="s">
        <v>736</v>
      </c>
      <c r="D427" s="6" t="s">
        <v>737</v>
      </c>
      <c r="E427" s="6" t="s">
        <v>274</v>
      </c>
      <c r="F427" s="5"/>
      <c r="G427" s="7">
        <v>168.07</v>
      </c>
    </row>
    <row r="428" spans="2:7" x14ac:dyDescent="0.25">
      <c r="B428" s="5">
        <v>46156</v>
      </c>
      <c r="C428" s="6" t="s">
        <v>586</v>
      </c>
      <c r="D428" s="6" t="s">
        <v>273</v>
      </c>
      <c r="E428" s="6" t="s">
        <v>272</v>
      </c>
      <c r="F428" s="5"/>
      <c r="G428" s="7">
        <v>-46</v>
      </c>
    </row>
    <row r="429" spans="2:7" x14ac:dyDescent="0.25">
      <c r="B429" s="5">
        <v>46156</v>
      </c>
      <c r="C429" s="6" t="s">
        <v>538</v>
      </c>
      <c r="D429" s="6" t="s">
        <v>273</v>
      </c>
      <c r="E429" s="6" t="s">
        <v>34</v>
      </c>
      <c r="F429" s="5"/>
      <c r="G429" s="7">
        <v>-240.25</v>
      </c>
    </row>
    <row r="430" spans="2:7" x14ac:dyDescent="0.25">
      <c r="B430" s="5">
        <v>46156</v>
      </c>
      <c r="C430" s="6" t="s">
        <v>669</v>
      </c>
      <c r="D430" s="6" t="s">
        <v>273</v>
      </c>
      <c r="E430" s="6" t="s">
        <v>272</v>
      </c>
      <c r="F430" s="5"/>
      <c r="G430" s="7">
        <v>-37.79</v>
      </c>
    </row>
    <row r="431" spans="2:7" x14ac:dyDescent="0.25">
      <c r="B431" s="5">
        <v>46156</v>
      </c>
      <c r="C431" s="6" t="s">
        <v>594</v>
      </c>
      <c r="D431" s="6" t="s">
        <v>273</v>
      </c>
      <c r="E431" s="6" t="s">
        <v>272</v>
      </c>
      <c r="F431" s="5"/>
      <c r="G431" s="7">
        <v>-60.95</v>
      </c>
    </row>
    <row r="432" spans="2:7" x14ac:dyDescent="0.25">
      <c r="B432" s="5">
        <v>46156</v>
      </c>
      <c r="C432" s="6" t="s">
        <v>664</v>
      </c>
      <c r="D432" s="6" t="s">
        <v>273</v>
      </c>
      <c r="E432" s="6" t="s">
        <v>26</v>
      </c>
      <c r="F432" s="5"/>
      <c r="G432" s="7">
        <v>-8.9</v>
      </c>
    </row>
    <row r="433" spans="2:7" x14ac:dyDescent="0.25">
      <c r="B433" s="5">
        <v>46156</v>
      </c>
      <c r="C433" s="6" t="s">
        <v>664</v>
      </c>
      <c r="D433" s="6" t="s">
        <v>273</v>
      </c>
      <c r="E433" s="6" t="s">
        <v>26</v>
      </c>
      <c r="F433" s="5"/>
      <c r="G433" s="7">
        <v>-8.9</v>
      </c>
    </row>
    <row r="434" spans="2:7" x14ac:dyDescent="0.25">
      <c r="B434" s="5">
        <v>46156</v>
      </c>
      <c r="C434" s="6" t="s">
        <v>664</v>
      </c>
      <c r="D434" s="6" t="s">
        <v>273</v>
      </c>
      <c r="E434" s="6" t="s">
        <v>26</v>
      </c>
      <c r="F434" s="5"/>
      <c r="G434" s="7">
        <v>-8.9</v>
      </c>
    </row>
    <row r="435" spans="2:7" x14ac:dyDescent="0.25">
      <c r="B435" s="5">
        <v>46156</v>
      </c>
      <c r="C435" s="6" t="s">
        <v>687</v>
      </c>
      <c r="D435" s="6" t="s">
        <v>87</v>
      </c>
      <c r="E435" s="6" t="s">
        <v>100</v>
      </c>
      <c r="F435" s="5"/>
      <c r="G435" s="7">
        <v>-200</v>
      </c>
    </row>
    <row r="436" spans="2:7" x14ac:dyDescent="0.25">
      <c r="B436" s="5">
        <v>46156</v>
      </c>
      <c r="C436" s="6" t="s">
        <v>723</v>
      </c>
      <c r="D436" s="6" t="s">
        <v>87</v>
      </c>
      <c r="E436" s="6" t="s">
        <v>28</v>
      </c>
      <c r="F436" s="5"/>
      <c r="G436" s="7">
        <v>-50</v>
      </c>
    </row>
    <row r="437" spans="2:7" x14ac:dyDescent="0.25">
      <c r="B437" s="5">
        <v>46157</v>
      </c>
      <c r="C437" s="6" t="s">
        <v>664</v>
      </c>
      <c r="D437" s="6" t="s">
        <v>273</v>
      </c>
      <c r="E437" s="6" t="s">
        <v>26</v>
      </c>
      <c r="F437" s="5"/>
      <c r="G437" s="7">
        <v>-8.9</v>
      </c>
    </row>
    <row r="438" spans="2:7" x14ac:dyDescent="0.25">
      <c r="B438" s="5">
        <v>46157</v>
      </c>
      <c r="C438" s="6" t="s">
        <v>664</v>
      </c>
      <c r="D438" s="6" t="s">
        <v>273</v>
      </c>
      <c r="E438" s="6" t="s">
        <v>26</v>
      </c>
      <c r="F438" s="5"/>
      <c r="G438" s="7">
        <v>-8.9</v>
      </c>
    </row>
    <row r="439" spans="2:7" x14ac:dyDescent="0.25">
      <c r="B439" s="5">
        <v>46157</v>
      </c>
      <c r="C439" s="6" t="s">
        <v>714</v>
      </c>
      <c r="D439" s="6" t="s">
        <v>226</v>
      </c>
      <c r="E439" s="6" t="s">
        <v>26</v>
      </c>
      <c r="F439" s="5"/>
      <c r="G439" s="7">
        <v>44.5</v>
      </c>
    </row>
    <row r="440" spans="2:7" x14ac:dyDescent="0.25">
      <c r="B440" s="5">
        <v>46157</v>
      </c>
      <c r="C440" s="6" t="s">
        <v>655</v>
      </c>
      <c r="D440" s="6" t="s">
        <v>273</v>
      </c>
      <c r="E440" s="6" t="s">
        <v>272</v>
      </c>
      <c r="F440" s="5"/>
      <c r="G440" s="7">
        <v>-13.92</v>
      </c>
    </row>
    <row r="441" spans="2:7" x14ac:dyDescent="0.25">
      <c r="B441" s="5">
        <v>46168</v>
      </c>
      <c r="C441" s="6" t="s">
        <v>691</v>
      </c>
      <c r="D441" s="6" t="s">
        <v>87</v>
      </c>
      <c r="E441" s="6" t="s">
        <v>100</v>
      </c>
      <c r="F441" s="5"/>
      <c r="G441" s="7">
        <v>-540</v>
      </c>
    </row>
    <row r="442" spans="2:7" x14ac:dyDescent="0.25">
      <c r="B442" s="5">
        <v>46173</v>
      </c>
      <c r="C442" s="6" t="s">
        <v>691</v>
      </c>
      <c r="D442" s="6" t="s">
        <v>87</v>
      </c>
      <c r="E442" s="6" t="s">
        <v>100</v>
      </c>
      <c r="F442" s="5"/>
      <c r="G442" s="7">
        <v>540</v>
      </c>
    </row>
    <row r="443" spans="2:7" x14ac:dyDescent="0.25">
      <c r="B443" s="5">
        <v>46176</v>
      </c>
      <c r="C443" s="6" t="s">
        <v>303</v>
      </c>
      <c r="D443" s="6" t="s">
        <v>273</v>
      </c>
      <c r="E443" s="6" t="s">
        <v>275</v>
      </c>
      <c r="F443" s="5"/>
      <c r="G443" s="7">
        <v>-51.97</v>
      </c>
    </row>
    <row r="444" spans="2:7" x14ac:dyDescent="0.25">
      <c r="B444" s="5">
        <v>46176</v>
      </c>
      <c r="C444" s="6" t="s">
        <v>304</v>
      </c>
      <c r="D444" s="6" t="s">
        <v>273</v>
      </c>
      <c r="E444" s="6" t="s">
        <v>275</v>
      </c>
      <c r="F444" s="5"/>
      <c r="G444" s="7">
        <v>-68.400000000000006</v>
      </c>
    </row>
    <row r="445" spans="2:7" x14ac:dyDescent="0.25">
      <c r="B445" s="5">
        <v>46176</v>
      </c>
      <c r="C445" s="6" t="s">
        <v>304</v>
      </c>
      <c r="D445" s="6" t="s">
        <v>273</v>
      </c>
      <c r="E445" s="6" t="s">
        <v>275</v>
      </c>
      <c r="F445" s="5"/>
      <c r="G445" s="7">
        <v>-63.2</v>
      </c>
    </row>
    <row r="446" spans="2:7" x14ac:dyDescent="0.25">
      <c r="B446" s="5">
        <v>46176</v>
      </c>
      <c r="C446" s="6" t="s">
        <v>305</v>
      </c>
      <c r="D446" s="6" t="s">
        <v>273</v>
      </c>
      <c r="E446" s="6" t="s">
        <v>275</v>
      </c>
      <c r="F446" s="5"/>
      <c r="G446" s="7">
        <v>-30.24</v>
      </c>
    </row>
    <row r="447" spans="2:7" x14ac:dyDescent="0.25">
      <c r="B447" s="5">
        <v>46176</v>
      </c>
      <c r="C447" s="6" t="s">
        <v>306</v>
      </c>
      <c r="D447" s="6" t="s">
        <v>273</v>
      </c>
      <c r="E447" s="6" t="s">
        <v>275</v>
      </c>
      <c r="F447" s="5"/>
      <c r="G447" s="7">
        <v>-70.819999999999993</v>
      </c>
    </row>
    <row r="448" spans="2:7" x14ac:dyDescent="0.25">
      <c r="B448" s="5">
        <v>46176</v>
      </c>
      <c r="C448" s="6" t="s">
        <v>307</v>
      </c>
      <c r="D448" s="6" t="s">
        <v>273</v>
      </c>
      <c r="E448" s="6" t="s">
        <v>275</v>
      </c>
      <c r="F448" s="5"/>
      <c r="G448" s="7">
        <v>-41.5</v>
      </c>
    </row>
    <row r="449" spans="2:7" x14ac:dyDescent="0.25">
      <c r="B449" s="5">
        <v>46176</v>
      </c>
      <c r="C449" s="6" t="s">
        <v>308</v>
      </c>
      <c r="D449" s="6" t="s">
        <v>273</v>
      </c>
      <c r="E449" s="6" t="s">
        <v>275</v>
      </c>
      <c r="F449" s="5"/>
      <c r="G449" s="7">
        <v>-83</v>
      </c>
    </row>
    <row r="450" spans="2:7" x14ac:dyDescent="0.25">
      <c r="B450" s="5">
        <v>46176</v>
      </c>
      <c r="C450" s="6" t="s">
        <v>309</v>
      </c>
      <c r="D450" s="6" t="s">
        <v>273</v>
      </c>
      <c r="E450" s="6" t="s">
        <v>275</v>
      </c>
      <c r="F450" s="5"/>
      <c r="G450" s="7">
        <v>-101.43</v>
      </c>
    </row>
    <row r="451" spans="2:7" x14ac:dyDescent="0.25">
      <c r="B451" s="5">
        <v>46176</v>
      </c>
      <c r="C451" s="6" t="s">
        <v>310</v>
      </c>
      <c r="D451" s="6" t="s">
        <v>273</v>
      </c>
      <c r="E451" s="6" t="s">
        <v>275</v>
      </c>
      <c r="F451" s="5"/>
      <c r="G451" s="7">
        <v>-69.02</v>
      </c>
    </row>
    <row r="452" spans="2:7" x14ac:dyDescent="0.25">
      <c r="B452" s="5">
        <v>46176</v>
      </c>
      <c r="C452" s="6" t="s">
        <v>311</v>
      </c>
      <c r="D452" s="6" t="s">
        <v>273</v>
      </c>
      <c r="E452" s="6" t="s">
        <v>275</v>
      </c>
      <c r="F452" s="5"/>
      <c r="G452" s="7">
        <v>-31.09</v>
      </c>
    </row>
    <row r="453" spans="2:7" x14ac:dyDescent="0.25">
      <c r="B453" s="5">
        <v>46176</v>
      </c>
      <c r="C453" s="6" t="s">
        <v>312</v>
      </c>
      <c r="D453" s="6" t="s">
        <v>273</v>
      </c>
      <c r="E453" s="6" t="s">
        <v>275</v>
      </c>
      <c r="F453" s="5"/>
      <c r="G453" s="7">
        <v>-126.65</v>
      </c>
    </row>
    <row r="454" spans="2:7" x14ac:dyDescent="0.25">
      <c r="B454" s="5">
        <v>46176</v>
      </c>
      <c r="C454" s="6" t="s">
        <v>313</v>
      </c>
      <c r="D454" s="6" t="s">
        <v>273</v>
      </c>
      <c r="E454" s="6" t="s">
        <v>275</v>
      </c>
      <c r="F454" s="5"/>
      <c r="G454" s="7">
        <v>-12.25</v>
      </c>
    </row>
    <row r="455" spans="2:7" x14ac:dyDescent="0.25">
      <c r="B455" s="5">
        <v>46176</v>
      </c>
      <c r="C455" s="6" t="s">
        <v>314</v>
      </c>
      <c r="D455" s="6" t="s">
        <v>273</v>
      </c>
      <c r="E455" s="6" t="s">
        <v>275</v>
      </c>
      <c r="F455" s="5"/>
      <c r="G455" s="7">
        <v>-610.35</v>
      </c>
    </row>
    <row r="456" spans="2:7" x14ac:dyDescent="0.25">
      <c r="B456" s="5">
        <v>46176</v>
      </c>
      <c r="C456" s="6" t="s">
        <v>315</v>
      </c>
      <c r="D456" s="6" t="s">
        <v>273</v>
      </c>
      <c r="E456" s="6" t="s">
        <v>275</v>
      </c>
      <c r="F456" s="5"/>
      <c r="G456" s="7">
        <v>-35.159999999999997</v>
      </c>
    </row>
    <row r="457" spans="2:7" x14ac:dyDescent="0.25">
      <c r="B457" s="5">
        <v>46176</v>
      </c>
      <c r="C457" s="6" t="s">
        <v>316</v>
      </c>
      <c r="D457" s="6" t="s">
        <v>273</v>
      </c>
      <c r="E457" s="6" t="s">
        <v>275</v>
      </c>
      <c r="F457" s="5"/>
      <c r="G457" s="7">
        <v>-45.81</v>
      </c>
    </row>
    <row r="458" spans="2:7" x14ac:dyDescent="0.25">
      <c r="B458" s="5">
        <v>46176</v>
      </c>
      <c r="C458" s="6" t="s">
        <v>317</v>
      </c>
      <c r="D458" s="6" t="s">
        <v>273</v>
      </c>
      <c r="E458" s="6" t="s">
        <v>275</v>
      </c>
      <c r="F458" s="5"/>
      <c r="G458" s="7">
        <v>-44.23</v>
      </c>
    </row>
    <row r="459" spans="2:7" x14ac:dyDescent="0.25">
      <c r="B459" s="5">
        <v>46176</v>
      </c>
      <c r="C459" s="6" t="s">
        <v>318</v>
      </c>
      <c r="D459" s="6" t="s">
        <v>273</v>
      </c>
      <c r="E459" s="6" t="s">
        <v>275</v>
      </c>
      <c r="F459" s="5"/>
      <c r="G459" s="7">
        <v>-34.68</v>
      </c>
    </row>
    <row r="460" spans="2:7" x14ac:dyDescent="0.25">
      <c r="B460" s="5">
        <v>46176</v>
      </c>
      <c r="C460" s="6" t="s">
        <v>319</v>
      </c>
      <c r="D460" s="6" t="s">
        <v>273</v>
      </c>
      <c r="E460" s="6" t="s">
        <v>275</v>
      </c>
      <c r="F460" s="5"/>
      <c r="G460" s="7">
        <v>-40.47</v>
      </c>
    </row>
    <row r="461" spans="2:7" x14ac:dyDescent="0.25">
      <c r="B461" s="5">
        <v>46176</v>
      </c>
      <c r="C461" s="6" t="s">
        <v>320</v>
      </c>
      <c r="D461" s="6" t="s">
        <v>273</v>
      </c>
      <c r="E461" s="6" t="s">
        <v>275</v>
      </c>
      <c r="F461" s="5"/>
      <c r="G461" s="7">
        <v>-5.99</v>
      </c>
    </row>
    <row r="462" spans="2:7" x14ac:dyDescent="0.25">
      <c r="B462" s="5">
        <v>46176</v>
      </c>
      <c r="C462" s="6" t="s">
        <v>321</v>
      </c>
      <c r="D462" s="6" t="s">
        <v>273</v>
      </c>
      <c r="E462" s="6" t="s">
        <v>275</v>
      </c>
      <c r="F462" s="5"/>
      <c r="G462" s="7">
        <v>-83</v>
      </c>
    </row>
    <row r="463" spans="2:7" x14ac:dyDescent="0.25">
      <c r="B463" s="5">
        <v>46176</v>
      </c>
      <c r="C463" s="6" t="s">
        <v>322</v>
      </c>
      <c r="D463" s="6" t="s">
        <v>273</v>
      </c>
      <c r="E463" s="6" t="s">
        <v>275</v>
      </c>
      <c r="F463" s="5"/>
      <c r="G463" s="7">
        <v>-41.5</v>
      </c>
    </row>
    <row r="464" spans="2:7" x14ac:dyDescent="0.25">
      <c r="B464" s="5">
        <v>46176</v>
      </c>
      <c r="C464" s="6" t="s">
        <v>323</v>
      </c>
      <c r="D464" s="6" t="s">
        <v>273</v>
      </c>
      <c r="E464" s="6" t="s">
        <v>275</v>
      </c>
      <c r="F464" s="5"/>
      <c r="G464" s="7">
        <v>-91.99</v>
      </c>
    </row>
    <row r="465" spans="2:7" x14ac:dyDescent="0.25">
      <c r="B465" s="5">
        <v>46176</v>
      </c>
      <c r="C465" s="6" t="s">
        <v>324</v>
      </c>
      <c r="D465" s="6" t="s">
        <v>273</v>
      </c>
      <c r="E465" s="6" t="s">
        <v>275</v>
      </c>
      <c r="F465" s="5"/>
      <c r="G465" s="7">
        <v>-64.03</v>
      </c>
    </row>
    <row r="466" spans="2:7" x14ac:dyDescent="0.25">
      <c r="B466" s="5">
        <v>46176</v>
      </c>
      <c r="C466" s="6" t="s">
        <v>325</v>
      </c>
      <c r="D466" s="6" t="s">
        <v>273</v>
      </c>
      <c r="E466" s="6" t="s">
        <v>275</v>
      </c>
      <c r="F466" s="5"/>
      <c r="G466" s="7">
        <v>-18.84</v>
      </c>
    </row>
    <row r="467" spans="2:7" x14ac:dyDescent="0.25">
      <c r="B467" s="5">
        <v>46176</v>
      </c>
      <c r="C467" s="6" t="s">
        <v>326</v>
      </c>
      <c r="D467" s="6" t="s">
        <v>273</v>
      </c>
      <c r="E467" s="6" t="s">
        <v>275</v>
      </c>
      <c r="F467" s="5"/>
      <c r="G467" s="7">
        <v>-52.28</v>
      </c>
    </row>
    <row r="468" spans="2:7" x14ac:dyDescent="0.25">
      <c r="B468" s="5">
        <v>46176</v>
      </c>
      <c r="C468" s="6" t="s">
        <v>327</v>
      </c>
      <c r="D468" s="6" t="s">
        <v>273</v>
      </c>
      <c r="E468" s="6" t="s">
        <v>275</v>
      </c>
      <c r="F468" s="5"/>
      <c r="G468" s="7">
        <v>-54.73</v>
      </c>
    </row>
    <row r="469" spans="2:7" x14ac:dyDescent="0.25">
      <c r="B469" s="5">
        <v>46176</v>
      </c>
      <c r="C469" s="6" t="s">
        <v>328</v>
      </c>
      <c r="D469" s="6" t="s">
        <v>273</v>
      </c>
      <c r="E469" s="6" t="s">
        <v>275</v>
      </c>
      <c r="F469" s="5"/>
      <c r="G469" s="7">
        <v>-264.89999999999998</v>
      </c>
    </row>
    <row r="470" spans="2:7" x14ac:dyDescent="0.25">
      <c r="B470" s="5">
        <v>46176</v>
      </c>
      <c r="C470" s="6" t="s">
        <v>329</v>
      </c>
      <c r="D470" s="6" t="s">
        <v>273</v>
      </c>
      <c r="E470" s="6" t="s">
        <v>275</v>
      </c>
      <c r="F470" s="5"/>
      <c r="G470" s="7">
        <v>-89</v>
      </c>
    </row>
    <row r="471" spans="2:7" x14ac:dyDescent="0.25">
      <c r="B471" s="5">
        <v>46176</v>
      </c>
      <c r="C471" s="6" t="s">
        <v>330</v>
      </c>
      <c r="D471" s="6" t="s">
        <v>273</v>
      </c>
      <c r="E471" s="6" t="s">
        <v>275</v>
      </c>
      <c r="F471" s="5"/>
      <c r="G471" s="7">
        <v>-45.8</v>
      </c>
    </row>
    <row r="472" spans="2:7" x14ac:dyDescent="0.25">
      <c r="B472" s="5">
        <v>46176</v>
      </c>
      <c r="C472" s="6" t="s">
        <v>331</v>
      </c>
      <c r="D472" s="6" t="s">
        <v>273</v>
      </c>
      <c r="E472" s="6" t="s">
        <v>275</v>
      </c>
      <c r="F472" s="5"/>
      <c r="G472" s="7">
        <v>-16.07</v>
      </c>
    </row>
    <row r="473" spans="2:7" x14ac:dyDescent="0.25">
      <c r="B473" s="5">
        <v>46176</v>
      </c>
      <c r="C473" s="6" t="s">
        <v>332</v>
      </c>
      <c r="D473" s="6" t="s">
        <v>273</v>
      </c>
      <c r="E473" s="6" t="s">
        <v>275</v>
      </c>
      <c r="F473" s="5"/>
      <c r="G473" s="7">
        <v>-41.63</v>
      </c>
    </row>
    <row r="474" spans="2:7" x14ac:dyDescent="0.25">
      <c r="B474" s="5">
        <v>46176</v>
      </c>
      <c r="C474" s="6" t="s">
        <v>333</v>
      </c>
      <c r="D474" s="6" t="s">
        <v>273</v>
      </c>
      <c r="E474" s="6" t="s">
        <v>275</v>
      </c>
      <c r="F474" s="5"/>
      <c r="G474" s="7">
        <v>-83.23</v>
      </c>
    </row>
    <row r="475" spans="2:7" x14ac:dyDescent="0.25">
      <c r="B475" s="5">
        <v>46176</v>
      </c>
      <c r="C475" s="6" t="s">
        <v>334</v>
      </c>
      <c r="D475" s="6" t="s">
        <v>273</v>
      </c>
      <c r="E475" s="6" t="s">
        <v>275</v>
      </c>
      <c r="F475" s="5"/>
      <c r="G475" s="7">
        <v>-110.64</v>
      </c>
    </row>
    <row r="476" spans="2:7" x14ac:dyDescent="0.25">
      <c r="B476" s="5">
        <v>46176</v>
      </c>
      <c r="C476" s="6" t="s">
        <v>335</v>
      </c>
      <c r="D476" s="6" t="s">
        <v>273</v>
      </c>
      <c r="E476" s="6" t="s">
        <v>275</v>
      </c>
      <c r="F476" s="5"/>
      <c r="G476" s="7">
        <v>-104.91</v>
      </c>
    </row>
    <row r="477" spans="2:7" x14ac:dyDescent="0.25">
      <c r="B477" s="5">
        <v>46176</v>
      </c>
      <c r="C477" s="6" t="s">
        <v>336</v>
      </c>
      <c r="D477" s="6" t="s">
        <v>273</v>
      </c>
      <c r="E477" s="6" t="s">
        <v>275</v>
      </c>
      <c r="F477" s="5"/>
      <c r="G477" s="7">
        <v>-324.62</v>
      </c>
    </row>
    <row r="478" spans="2:7" x14ac:dyDescent="0.25">
      <c r="B478" s="5">
        <v>46176</v>
      </c>
      <c r="C478" s="6" t="s">
        <v>336</v>
      </c>
      <c r="D478" s="6" t="s">
        <v>273</v>
      </c>
      <c r="E478" s="6" t="s">
        <v>275</v>
      </c>
      <c r="F478" s="5"/>
      <c r="G478" s="7">
        <v>-104.99</v>
      </c>
    </row>
    <row r="479" spans="2:7" x14ac:dyDescent="0.25">
      <c r="B479" s="5">
        <v>46176</v>
      </c>
      <c r="C479" s="6" t="s">
        <v>337</v>
      </c>
      <c r="D479" s="6" t="s">
        <v>273</v>
      </c>
      <c r="E479" s="6" t="s">
        <v>275</v>
      </c>
      <c r="F479" s="5"/>
      <c r="G479" s="7">
        <v>-55.46</v>
      </c>
    </row>
    <row r="480" spans="2:7" x14ac:dyDescent="0.25">
      <c r="B480" s="5">
        <v>46176</v>
      </c>
      <c r="C480" s="6" t="s">
        <v>338</v>
      </c>
      <c r="D480" s="6" t="s">
        <v>273</v>
      </c>
      <c r="E480" s="6" t="s">
        <v>275</v>
      </c>
      <c r="F480" s="5"/>
      <c r="G480" s="7">
        <v>-129.80000000000001</v>
      </c>
    </row>
    <row r="481" spans="2:7" x14ac:dyDescent="0.25">
      <c r="B481" s="5">
        <v>46176</v>
      </c>
      <c r="C481" s="6" t="s">
        <v>339</v>
      </c>
      <c r="D481" s="6" t="s">
        <v>273</v>
      </c>
      <c r="E481" s="6" t="s">
        <v>275</v>
      </c>
      <c r="F481" s="5"/>
      <c r="G481" s="7">
        <v>-33</v>
      </c>
    </row>
    <row r="482" spans="2:7" x14ac:dyDescent="0.25">
      <c r="B482" s="5">
        <v>46176</v>
      </c>
      <c r="C482" s="6" t="s">
        <v>340</v>
      </c>
      <c r="D482" s="6" t="s">
        <v>273</v>
      </c>
      <c r="E482" s="6" t="s">
        <v>275</v>
      </c>
      <c r="F482" s="5"/>
      <c r="G482" s="7">
        <v>-29.75</v>
      </c>
    </row>
    <row r="483" spans="2:7" x14ac:dyDescent="0.25">
      <c r="B483" s="5">
        <v>46176</v>
      </c>
      <c r="C483" s="6" t="s">
        <v>341</v>
      </c>
      <c r="D483" s="6" t="s">
        <v>273</v>
      </c>
      <c r="E483" s="6" t="s">
        <v>275</v>
      </c>
      <c r="F483" s="5"/>
      <c r="G483" s="7">
        <v>-35.979999999999997</v>
      </c>
    </row>
    <row r="484" spans="2:7" x14ac:dyDescent="0.25">
      <c r="B484" s="5">
        <v>46176</v>
      </c>
      <c r="C484" s="6" t="s">
        <v>342</v>
      </c>
      <c r="D484" s="6" t="s">
        <v>273</v>
      </c>
      <c r="E484" s="6" t="s">
        <v>275</v>
      </c>
      <c r="F484" s="5"/>
      <c r="G484" s="7">
        <v>-65.94</v>
      </c>
    </row>
    <row r="485" spans="2:7" x14ac:dyDescent="0.25">
      <c r="B485" s="5">
        <v>46176</v>
      </c>
      <c r="C485" s="6" t="s">
        <v>343</v>
      </c>
      <c r="D485" s="6" t="s">
        <v>273</v>
      </c>
      <c r="E485" s="6" t="s">
        <v>275</v>
      </c>
      <c r="F485" s="5"/>
      <c r="G485" s="7">
        <v>-239.9</v>
      </c>
    </row>
    <row r="486" spans="2:7" x14ac:dyDescent="0.25">
      <c r="B486" s="5">
        <v>46176</v>
      </c>
      <c r="C486" s="6" t="s">
        <v>344</v>
      </c>
      <c r="D486" s="6" t="s">
        <v>273</v>
      </c>
      <c r="E486" s="6" t="s">
        <v>275</v>
      </c>
      <c r="F486" s="5"/>
      <c r="G486" s="7">
        <v>-58.31</v>
      </c>
    </row>
    <row r="487" spans="2:7" x14ac:dyDescent="0.25">
      <c r="B487" s="5">
        <v>46176</v>
      </c>
      <c r="C487" s="6" t="s">
        <v>345</v>
      </c>
      <c r="D487" s="6" t="s">
        <v>273</v>
      </c>
      <c r="E487" s="6" t="s">
        <v>275</v>
      </c>
      <c r="F487" s="5"/>
      <c r="G487" s="7">
        <v>-126.4</v>
      </c>
    </row>
    <row r="488" spans="2:7" x14ac:dyDescent="0.25">
      <c r="B488" s="5">
        <v>46176</v>
      </c>
      <c r="C488" s="6" t="s">
        <v>346</v>
      </c>
      <c r="D488" s="6" t="s">
        <v>273</v>
      </c>
      <c r="E488" s="6" t="s">
        <v>275</v>
      </c>
      <c r="F488" s="5"/>
      <c r="G488" s="7">
        <v>-76.099999999999994</v>
      </c>
    </row>
    <row r="489" spans="2:7" x14ac:dyDescent="0.25">
      <c r="B489" s="5">
        <v>46176</v>
      </c>
      <c r="C489" s="6" t="s">
        <v>347</v>
      </c>
      <c r="D489" s="6" t="s">
        <v>273</v>
      </c>
      <c r="E489" s="6" t="s">
        <v>275</v>
      </c>
      <c r="F489" s="5"/>
      <c r="G489" s="7">
        <v>-52.48</v>
      </c>
    </row>
    <row r="490" spans="2:7" x14ac:dyDescent="0.25">
      <c r="B490" s="5">
        <v>46176</v>
      </c>
      <c r="C490" s="6" t="s">
        <v>348</v>
      </c>
      <c r="D490" s="6" t="s">
        <v>273</v>
      </c>
      <c r="E490" s="6" t="s">
        <v>275</v>
      </c>
      <c r="F490" s="5"/>
      <c r="G490" s="7">
        <v>-36.65</v>
      </c>
    </row>
    <row r="491" spans="2:7" x14ac:dyDescent="0.25">
      <c r="B491" s="5">
        <v>46176</v>
      </c>
      <c r="C491" s="6" t="s">
        <v>349</v>
      </c>
      <c r="D491" s="6" t="s">
        <v>273</v>
      </c>
      <c r="E491" s="6" t="s">
        <v>275</v>
      </c>
      <c r="F491" s="5"/>
      <c r="G491" s="7">
        <v>-85</v>
      </c>
    </row>
    <row r="492" spans="2:7" x14ac:dyDescent="0.25">
      <c r="B492" s="5">
        <v>46176</v>
      </c>
      <c r="C492" s="6" t="s">
        <v>350</v>
      </c>
      <c r="D492" s="6" t="s">
        <v>273</v>
      </c>
      <c r="E492" s="6" t="s">
        <v>275</v>
      </c>
      <c r="F492" s="5"/>
      <c r="G492" s="7">
        <v>-51.98</v>
      </c>
    </row>
    <row r="493" spans="2:7" x14ac:dyDescent="0.25">
      <c r="B493" s="5">
        <v>46176</v>
      </c>
      <c r="C493" s="6" t="s">
        <v>351</v>
      </c>
      <c r="D493" s="6" t="s">
        <v>273</v>
      </c>
      <c r="E493" s="6" t="s">
        <v>275</v>
      </c>
      <c r="F493" s="5"/>
      <c r="G493" s="7">
        <v>-111.97</v>
      </c>
    </row>
    <row r="494" spans="2:7" x14ac:dyDescent="0.25">
      <c r="B494" s="5">
        <v>46176</v>
      </c>
      <c r="C494" s="6" t="s">
        <v>352</v>
      </c>
      <c r="D494" s="6" t="s">
        <v>273</v>
      </c>
      <c r="E494" s="6" t="s">
        <v>275</v>
      </c>
      <c r="F494" s="5"/>
      <c r="G494" s="7">
        <v>-148.27000000000001</v>
      </c>
    </row>
    <row r="495" spans="2:7" x14ac:dyDescent="0.25">
      <c r="B495" s="5">
        <v>46176</v>
      </c>
      <c r="C495" s="6" t="s">
        <v>353</v>
      </c>
      <c r="D495" s="6" t="s">
        <v>273</v>
      </c>
      <c r="E495" s="6" t="s">
        <v>275</v>
      </c>
      <c r="F495" s="5"/>
      <c r="G495" s="7">
        <v>-29.64</v>
      </c>
    </row>
    <row r="496" spans="2:7" x14ac:dyDescent="0.25">
      <c r="B496" s="5">
        <v>46176</v>
      </c>
      <c r="C496" s="6" t="s">
        <v>354</v>
      </c>
      <c r="D496" s="6" t="s">
        <v>273</v>
      </c>
      <c r="E496" s="6" t="s">
        <v>275</v>
      </c>
      <c r="F496" s="5"/>
      <c r="G496" s="7">
        <v>-118.77</v>
      </c>
    </row>
    <row r="497" spans="2:7" x14ac:dyDescent="0.25">
      <c r="B497" s="5">
        <v>46176</v>
      </c>
      <c r="C497" s="6" t="s">
        <v>355</v>
      </c>
      <c r="D497" s="6" t="s">
        <v>273</v>
      </c>
      <c r="E497" s="6" t="s">
        <v>275</v>
      </c>
      <c r="F497" s="5"/>
      <c r="G497" s="7">
        <v>-452.62</v>
      </c>
    </row>
    <row r="498" spans="2:7" x14ac:dyDescent="0.25">
      <c r="B498" s="5">
        <v>46176</v>
      </c>
      <c r="C498" s="6" t="s">
        <v>355</v>
      </c>
      <c r="D498" s="6" t="s">
        <v>273</v>
      </c>
      <c r="E498" s="6" t="s">
        <v>275</v>
      </c>
      <c r="F498" s="5"/>
      <c r="G498" s="7">
        <v>-175.76</v>
      </c>
    </row>
    <row r="499" spans="2:7" x14ac:dyDescent="0.25">
      <c r="B499" s="5">
        <v>46176</v>
      </c>
      <c r="C499" s="6" t="s">
        <v>356</v>
      </c>
      <c r="D499" s="6" t="s">
        <v>273</v>
      </c>
      <c r="E499" s="6" t="s">
        <v>275</v>
      </c>
      <c r="F499" s="5"/>
      <c r="G499" s="7">
        <v>-119</v>
      </c>
    </row>
    <row r="500" spans="2:7" x14ac:dyDescent="0.25">
      <c r="B500" s="5">
        <v>46176</v>
      </c>
      <c r="C500" s="6" t="s">
        <v>357</v>
      </c>
      <c r="D500" s="6" t="s">
        <v>273</v>
      </c>
      <c r="E500" s="6" t="s">
        <v>275</v>
      </c>
      <c r="F500" s="5"/>
      <c r="G500" s="7">
        <v>-191.66</v>
      </c>
    </row>
    <row r="501" spans="2:7" x14ac:dyDescent="0.25">
      <c r="B501" s="5">
        <v>46176</v>
      </c>
      <c r="C501" s="6" t="s">
        <v>358</v>
      </c>
      <c r="D501" s="6" t="s">
        <v>273</v>
      </c>
      <c r="E501" s="6" t="s">
        <v>275</v>
      </c>
      <c r="F501" s="5"/>
      <c r="G501" s="7">
        <v>-49.99</v>
      </c>
    </row>
    <row r="502" spans="2:7" x14ac:dyDescent="0.25">
      <c r="B502" s="5">
        <v>46176</v>
      </c>
      <c r="C502" s="6" t="s">
        <v>359</v>
      </c>
      <c r="D502" s="6" t="s">
        <v>273</v>
      </c>
      <c r="E502" s="6" t="s">
        <v>275</v>
      </c>
      <c r="F502" s="5"/>
      <c r="G502" s="7">
        <v>-447.8</v>
      </c>
    </row>
    <row r="503" spans="2:7" x14ac:dyDescent="0.25">
      <c r="B503" s="5">
        <v>46176</v>
      </c>
      <c r="C503" s="6" t="s">
        <v>360</v>
      </c>
      <c r="D503" s="6" t="s">
        <v>273</v>
      </c>
      <c r="E503" s="6" t="s">
        <v>275</v>
      </c>
      <c r="F503" s="5"/>
      <c r="G503" s="7">
        <v>-166.56</v>
      </c>
    </row>
    <row r="504" spans="2:7" x14ac:dyDescent="0.25">
      <c r="B504" s="5">
        <v>46177</v>
      </c>
      <c r="C504" s="6" t="s">
        <v>688</v>
      </c>
      <c r="D504" s="6" t="s">
        <v>87</v>
      </c>
      <c r="E504" s="6" t="s">
        <v>100</v>
      </c>
      <c r="F504" s="5"/>
      <c r="G504" s="7">
        <v>-207</v>
      </c>
    </row>
    <row r="505" spans="2:7" x14ac:dyDescent="0.25">
      <c r="B505" s="5">
        <v>46178</v>
      </c>
      <c r="C505" s="6" t="s">
        <v>687</v>
      </c>
      <c r="D505" s="6" t="s">
        <v>87</v>
      </c>
      <c r="E505" s="6" t="s">
        <v>100</v>
      </c>
      <c r="F505" s="5"/>
      <c r="G505" s="7">
        <v>-200</v>
      </c>
    </row>
    <row r="506" spans="2:7" x14ac:dyDescent="0.25">
      <c r="B506" s="5">
        <v>46183</v>
      </c>
      <c r="C506" s="6" t="s">
        <v>684</v>
      </c>
      <c r="D506" s="6" t="s">
        <v>87</v>
      </c>
      <c r="E506" s="6" t="s">
        <v>100</v>
      </c>
      <c r="F506" s="5"/>
      <c r="G506" s="7">
        <v>-1300</v>
      </c>
    </row>
    <row r="507" spans="2:7" x14ac:dyDescent="0.25">
      <c r="B507" s="5">
        <v>46183</v>
      </c>
      <c r="C507" s="6" t="s">
        <v>685</v>
      </c>
      <c r="D507" s="6" t="s">
        <v>87</v>
      </c>
      <c r="E507" s="6" t="s">
        <v>100</v>
      </c>
      <c r="F507" s="5"/>
      <c r="G507" s="7">
        <v>-676.17</v>
      </c>
    </row>
    <row r="508" spans="2:7" x14ac:dyDescent="0.25">
      <c r="B508" s="5">
        <v>46183</v>
      </c>
      <c r="C508" s="6" t="s">
        <v>686</v>
      </c>
      <c r="D508" s="6" t="s">
        <v>87</v>
      </c>
      <c r="E508" s="6" t="s">
        <v>100</v>
      </c>
      <c r="F508" s="5"/>
      <c r="G508" s="7">
        <v>-215.5</v>
      </c>
    </row>
    <row r="509" spans="2:7" x14ac:dyDescent="0.25">
      <c r="B509" s="5">
        <v>46183</v>
      </c>
      <c r="C509" s="6" t="s">
        <v>689</v>
      </c>
      <c r="D509" s="6" t="s">
        <v>87</v>
      </c>
      <c r="E509" s="6" t="s">
        <v>274</v>
      </c>
      <c r="F509" s="5"/>
      <c r="G509" s="7">
        <v>-115.52</v>
      </c>
    </row>
    <row r="510" spans="2:7" x14ac:dyDescent="0.25">
      <c r="B510" s="5">
        <v>46183</v>
      </c>
      <c r="C510" s="6" t="s">
        <v>690</v>
      </c>
      <c r="D510" s="6" t="s">
        <v>87</v>
      </c>
      <c r="E510" s="6" t="s">
        <v>274</v>
      </c>
      <c r="F510" s="5"/>
      <c r="G510" s="7">
        <v>-250</v>
      </c>
    </row>
    <row r="511" spans="2:7" x14ac:dyDescent="0.25">
      <c r="B511" s="5">
        <v>46206</v>
      </c>
      <c r="C511" s="6" t="s">
        <v>361</v>
      </c>
      <c r="D511" s="6" t="s">
        <v>273</v>
      </c>
      <c r="E511" s="6" t="s">
        <v>275</v>
      </c>
      <c r="F511" s="5"/>
      <c r="G511" s="7">
        <v>-51.97</v>
      </c>
    </row>
    <row r="512" spans="2:7" x14ac:dyDescent="0.25">
      <c r="B512" s="5">
        <v>46206</v>
      </c>
      <c r="C512" s="6" t="s">
        <v>362</v>
      </c>
      <c r="D512" s="6" t="s">
        <v>273</v>
      </c>
      <c r="E512" s="6" t="s">
        <v>275</v>
      </c>
      <c r="F512" s="5"/>
      <c r="G512" s="7">
        <v>-68.400000000000006</v>
      </c>
    </row>
    <row r="513" spans="2:7" x14ac:dyDescent="0.25">
      <c r="B513" s="5">
        <v>46206</v>
      </c>
      <c r="C513" s="6" t="s">
        <v>362</v>
      </c>
      <c r="D513" s="6" t="s">
        <v>273</v>
      </c>
      <c r="E513" s="6" t="s">
        <v>275</v>
      </c>
      <c r="F513" s="5"/>
      <c r="G513" s="7">
        <v>-63.2</v>
      </c>
    </row>
    <row r="514" spans="2:7" x14ac:dyDescent="0.25">
      <c r="B514" s="5">
        <v>46206</v>
      </c>
      <c r="C514" s="6" t="s">
        <v>363</v>
      </c>
      <c r="D514" s="6" t="s">
        <v>273</v>
      </c>
      <c r="E514" s="6" t="s">
        <v>275</v>
      </c>
      <c r="F514" s="5"/>
      <c r="G514" s="7">
        <v>-30.24</v>
      </c>
    </row>
    <row r="515" spans="2:7" x14ac:dyDescent="0.25">
      <c r="B515" s="5">
        <v>46206</v>
      </c>
      <c r="C515" s="6" t="s">
        <v>364</v>
      </c>
      <c r="D515" s="6" t="s">
        <v>273</v>
      </c>
      <c r="E515" s="6" t="s">
        <v>275</v>
      </c>
      <c r="F515" s="5"/>
      <c r="G515" s="7">
        <v>-70.819999999999993</v>
      </c>
    </row>
    <row r="516" spans="2:7" x14ac:dyDescent="0.25">
      <c r="B516" s="5">
        <v>46206</v>
      </c>
      <c r="C516" s="6" t="s">
        <v>365</v>
      </c>
      <c r="D516" s="6" t="s">
        <v>273</v>
      </c>
      <c r="E516" s="6" t="s">
        <v>275</v>
      </c>
      <c r="F516" s="5"/>
      <c r="G516" s="7">
        <v>-41.5</v>
      </c>
    </row>
    <row r="517" spans="2:7" x14ac:dyDescent="0.25">
      <c r="B517" s="5">
        <v>46206</v>
      </c>
      <c r="C517" s="6" t="s">
        <v>366</v>
      </c>
      <c r="D517" s="6" t="s">
        <v>273</v>
      </c>
      <c r="E517" s="6" t="s">
        <v>275</v>
      </c>
      <c r="F517" s="5"/>
      <c r="G517" s="7">
        <v>-83</v>
      </c>
    </row>
    <row r="518" spans="2:7" x14ac:dyDescent="0.25">
      <c r="B518" s="5">
        <v>46206</v>
      </c>
      <c r="C518" s="6" t="s">
        <v>367</v>
      </c>
      <c r="D518" s="6" t="s">
        <v>273</v>
      </c>
      <c r="E518" s="6" t="s">
        <v>275</v>
      </c>
      <c r="F518" s="5"/>
      <c r="G518" s="7">
        <v>-69.02</v>
      </c>
    </row>
    <row r="519" spans="2:7" x14ac:dyDescent="0.25">
      <c r="B519" s="5">
        <v>46206</v>
      </c>
      <c r="C519" s="6" t="s">
        <v>368</v>
      </c>
      <c r="D519" s="6" t="s">
        <v>273</v>
      </c>
      <c r="E519" s="6" t="s">
        <v>275</v>
      </c>
      <c r="F519" s="5"/>
      <c r="G519" s="7">
        <v>-31.09</v>
      </c>
    </row>
    <row r="520" spans="2:7" x14ac:dyDescent="0.25">
      <c r="B520" s="5">
        <v>46206</v>
      </c>
      <c r="C520" s="6" t="s">
        <v>369</v>
      </c>
      <c r="D520" s="6" t="s">
        <v>273</v>
      </c>
      <c r="E520" s="6" t="s">
        <v>275</v>
      </c>
      <c r="F520" s="5"/>
      <c r="G520" s="7">
        <v>-35.159999999999997</v>
      </c>
    </row>
    <row r="521" spans="2:7" x14ac:dyDescent="0.25">
      <c r="B521" s="5">
        <v>46206</v>
      </c>
      <c r="C521" s="6" t="s">
        <v>370</v>
      </c>
      <c r="D521" s="6" t="s">
        <v>273</v>
      </c>
      <c r="E521" s="6" t="s">
        <v>275</v>
      </c>
      <c r="F521" s="5"/>
      <c r="G521" s="7">
        <v>-44.23</v>
      </c>
    </row>
    <row r="522" spans="2:7" x14ac:dyDescent="0.25">
      <c r="B522" s="5">
        <v>46206</v>
      </c>
      <c r="C522" s="6" t="s">
        <v>371</v>
      </c>
      <c r="D522" s="6" t="s">
        <v>273</v>
      </c>
      <c r="E522" s="6" t="s">
        <v>275</v>
      </c>
      <c r="F522" s="5"/>
      <c r="G522" s="7">
        <v>-34.68</v>
      </c>
    </row>
    <row r="523" spans="2:7" x14ac:dyDescent="0.25">
      <c r="B523" s="5">
        <v>46206</v>
      </c>
      <c r="C523" s="6" t="s">
        <v>372</v>
      </c>
      <c r="D523" s="6" t="s">
        <v>273</v>
      </c>
      <c r="E523" s="6" t="s">
        <v>275</v>
      </c>
      <c r="F523" s="5"/>
      <c r="G523" s="7">
        <v>-40.47</v>
      </c>
    </row>
    <row r="524" spans="2:7" x14ac:dyDescent="0.25">
      <c r="B524" s="5">
        <v>46206</v>
      </c>
      <c r="C524" s="6" t="s">
        <v>373</v>
      </c>
      <c r="D524" s="6" t="s">
        <v>273</v>
      </c>
      <c r="E524" s="6" t="s">
        <v>275</v>
      </c>
      <c r="F524" s="5"/>
      <c r="G524" s="7">
        <v>-5.99</v>
      </c>
    </row>
    <row r="525" spans="2:7" x14ac:dyDescent="0.25">
      <c r="B525" s="5">
        <v>46206</v>
      </c>
      <c r="C525" s="6" t="s">
        <v>374</v>
      </c>
      <c r="D525" s="6" t="s">
        <v>273</v>
      </c>
      <c r="E525" s="6" t="s">
        <v>275</v>
      </c>
      <c r="F525" s="5"/>
      <c r="G525" s="7">
        <v>-83</v>
      </c>
    </row>
    <row r="526" spans="2:7" x14ac:dyDescent="0.25">
      <c r="B526" s="5">
        <v>46206</v>
      </c>
      <c r="C526" s="6" t="s">
        <v>375</v>
      </c>
      <c r="D526" s="6" t="s">
        <v>273</v>
      </c>
      <c r="E526" s="6" t="s">
        <v>275</v>
      </c>
      <c r="F526" s="5"/>
      <c r="G526" s="7">
        <v>-41.5</v>
      </c>
    </row>
    <row r="527" spans="2:7" x14ac:dyDescent="0.25">
      <c r="B527" s="5">
        <v>46206</v>
      </c>
      <c r="C527" s="6" t="s">
        <v>376</v>
      </c>
      <c r="D527" s="6" t="s">
        <v>273</v>
      </c>
      <c r="E527" s="6" t="s">
        <v>275</v>
      </c>
      <c r="F527" s="5"/>
      <c r="G527" s="7">
        <v>-64.03</v>
      </c>
    </row>
    <row r="528" spans="2:7" x14ac:dyDescent="0.25">
      <c r="B528" s="5">
        <v>46206</v>
      </c>
      <c r="C528" s="6" t="s">
        <v>377</v>
      </c>
      <c r="D528" s="6" t="s">
        <v>273</v>
      </c>
      <c r="E528" s="6" t="s">
        <v>275</v>
      </c>
      <c r="F528" s="5"/>
      <c r="G528" s="7">
        <v>-18.84</v>
      </c>
    </row>
    <row r="529" spans="2:7" x14ac:dyDescent="0.25">
      <c r="B529" s="5">
        <v>46206</v>
      </c>
      <c r="C529" s="6" t="s">
        <v>378</v>
      </c>
      <c r="D529" s="6" t="s">
        <v>273</v>
      </c>
      <c r="E529" s="6" t="s">
        <v>275</v>
      </c>
      <c r="F529" s="5"/>
      <c r="G529" s="7">
        <v>-54.73</v>
      </c>
    </row>
    <row r="530" spans="2:7" x14ac:dyDescent="0.25">
      <c r="B530" s="5">
        <v>46206</v>
      </c>
      <c r="C530" s="6" t="s">
        <v>379</v>
      </c>
      <c r="D530" s="6" t="s">
        <v>273</v>
      </c>
      <c r="E530" s="6" t="s">
        <v>275</v>
      </c>
      <c r="F530" s="5"/>
      <c r="G530" s="7">
        <v>-264.89999999999998</v>
      </c>
    </row>
    <row r="531" spans="2:7" x14ac:dyDescent="0.25">
      <c r="B531" s="5">
        <v>46206</v>
      </c>
      <c r="C531" s="6" t="s">
        <v>380</v>
      </c>
      <c r="D531" s="6" t="s">
        <v>273</v>
      </c>
      <c r="E531" s="6" t="s">
        <v>275</v>
      </c>
      <c r="F531" s="5"/>
      <c r="G531" s="7">
        <v>-89</v>
      </c>
    </row>
    <row r="532" spans="2:7" x14ac:dyDescent="0.25">
      <c r="B532" s="5">
        <v>46206</v>
      </c>
      <c r="C532" s="6" t="s">
        <v>381</v>
      </c>
      <c r="D532" s="6" t="s">
        <v>273</v>
      </c>
      <c r="E532" s="6" t="s">
        <v>275</v>
      </c>
      <c r="F532" s="5"/>
      <c r="G532" s="7">
        <v>-45.8</v>
      </c>
    </row>
    <row r="533" spans="2:7" x14ac:dyDescent="0.25">
      <c r="B533" s="5">
        <v>46206</v>
      </c>
      <c r="C533" s="6" t="s">
        <v>382</v>
      </c>
      <c r="D533" s="6" t="s">
        <v>273</v>
      </c>
      <c r="E533" s="6" t="s">
        <v>275</v>
      </c>
      <c r="F533" s="5"/>
      <c r="G533" s="7">
        <v>-16.07</v>
      </c>
    </row>
    <row r="534" spans="2:7" x14ac:dyDescent="0.25">
      <c r="B534" s="5">
        <v>46206</v>
      </c>
      <c r="C534" s="6" t="s">
        <v>336</v>
      </c>
      <c r="D534" s="6" t="s">
        <v>273</v>
      </c>
      <c r="E534" s="6" t="s">
        <v>275</v>
      </c>
      <c r="F534" s="5"/>
      <c r="G534" s="7">
        <v>-104.91</v>
      </c>
    </row>
    <row r="535" spans="2:7" x14ac:dyDescent="0.25">
      <c r="B535" s="5">
        <v>46206</v>
      </c>
      <c r="C535" s="6" t="s">
        <v>383</v>
      </c>
      <c r="D535" s="6" t="s">
        <v>273</v>
      </c>
      <c r="E535" s="6" t="s">
        <v>275</v>
      </c>
      <c r="F535" s="5"/>
      <c r="G535" s="7">
        <v>-55.46</v>
      </c>
    </row>
    <row r="536" spans="2:7" x14ac:dyDescent="0.25">
      <c r="B536" s="5">
        <v>46206</v>
      </c>
      <c r="C536" s="6" t="s">
        <v>384</v>
      </c>
      <c r="D536" s="6" t="s">
        <v>273</v>
      </c>
      <c r="E536" s="6" t="s">
        <v>275</v>
      </c>
      <c r="F536" s="5"/>
      <c r="G536" s="7">
        <v>-129.80000000000001</v>
      </c>
    </row>
    <row r="537" spans="2:7" x14ac:dyDescent="0.25">
      <c r="B537" s="5">
        <v>46206</v>
      </c>
      <c r="C537" s="6" t="s">
        <v>385</v>
      </c>
      <c r="D537" s="6" t="s">
        <v>273</v>
      </c>
      <c r="E537" s="6" t="s">
        <v>275</v>
      </c>
      <c r="F537" s="5"/>
      <c r="G537" s="7">
        <v>-33</v>
      </c>
    </row>
    <row r="538" spans="2:7" x14ac:dyDescent="0.25">
      <c r="B538" s="5">
        <v>46206</v>
      </c>
      <c r="C538" s="6" t="s">
        <v>386</v>
      </c>
      <c r="D538" s="6" t="s">
        <v>273</v>
      </c>
      <c r="E538" s="6" t="s">
        <v>275</v>
      </c>
      <c r="F538" s="5"/>
      <c r="G538" s="7">
        <v>-29.75</v>
      </c>
    </row>
    <row r="539" spans="2:7" x14ac:dyDescent="0.25">
      <c r="B539" s="5">
        <v>46206</v>
      </c>
      <c r="C539" s="6" t="s">
        <v>387</v>
      </c>
      <c r="D539" s="6" t="s">
        <v>273</v>
      </c>
      <c r="E539" s="6" t="s">
        <v>275</v>
      </c>
      <c r="F539" s="5"/>
      <c r="G539" s="7">
        <v>-35.979999999999997</v>
      </c>
    </row>
    <row r="540" spans="2:7" x14ac:dyDescent="0.25">
      <c r="B540" s="5">
        <v>46206</v>
      </c>
      <c r="C540" s="6" t="s">
        <v>388</v>
      </c>
      <c r="D540" s="6" t="s">
        <v>273</v>
      </c>
      <c r="E540" s="6" t="s">
        <v>275</v>
      </c>
      <c r="F540" s="5"/>
      <c r="G540" s="7">
        <v>-65.94</v>
      </c>
    </row>
    <row r="541" spans="2:7" x14ac:dyDescent="0.25">
      <c r="B541" s="5">
        <v>46206</v>
      </c>
      <c r="C541" s="6" t="s">
        <v>389</v>
      </c>
      <c r="D541" s="6" t="s">
        <v>273</v>
      </c>
      <c r="E541" s="6" t="s">
        <v>275</v>
      </c>
      <c r="F541" s="5"/>
      <c r="G541" s="7">
        <v>-239.9</v>
      </c>
    </row>
    <row r="542" spans="2:7" x14ac:dyDescent="0.25">
      <c r="B542" s="5">
        <v>46206</v>
      </c>
      <c r="C542" s="6" t="s">
        <v>390</v>
      </c>
      <c r="D542" s="6" t="s">
        <v>273</v>
      </c>
      <c r="E542" s="6" t="s">
        <v>275</v>
      </c>
      <c r="F542" s="5"/>
      <c r="G542" s="7">
        <v>-126.4</v>
      </c>
    </row>
    <row r="543" spans="2:7" x14ac:dyDescent="0.25">
      <c r="B543" s="5">
        <v>46206</v>
      </c>
      <c r="C543" s="6" t="s">
        <v>391</v>
      </c>
      <c r="D543" s="6" t="s">
        <v>273</v>
      </c>
      <c r="E543" s="6" t="s">
        <v>275</v>
      </c>
      <c r="F543" s="5"/>
      <c r="G543" s="7">
        <v>-76.099999999999994</v>
      </c>
    </row>
    <row r="544" spans="2:7" x14ac:dyDescent="0.25">
      <c r="B544" s="5">
        <v>46206</v>
      </c>
      <c r="C544" s="6" t="s">
        <v>392</v>
      </c>
      <c r="D544" s="6" t="s">
        <v>273</v>
      </c>
      <c r="E544" s="6" t="s">
        <v>275</v>
      </c>
      <c r="F544" s="5"/>
      <c r="G544" s="7">
        <v>-52.48</v>
      </c>
    </row>
    <row r="545" spans="2:7" x14ac:dyDescent="0.25">
      <c r="B545" s="5">
        <v>46206</v>
      </c>
      <c r="C545" s="6" t="s">
        <v>393</v>
      </c>
      <c r="D545" s="6" t="s">
        <v>273</v>
      </c>
      <c r="E545" s="6" t="s">
        <v>275</v>
      </c>
      <c r="F545" s="5"/>
      <c r="G545" s="7">
        <v>-36.65</v>
      </c>
    </row>
    <row r="546" spans="2:7" x14ac:dyDescent="0.25">
      <c r="B546" s="5">
        <v>46206</v>
      </c>
      <c r="C546" s="6" t="s">
        <v>394</v>
      </c>
      <c r="D546" s="6" t="s">
        <v>273</v>
      </c>
      <c r="E546" s="6" t="s">
        <v>275</v>
      </c>
      <c r="F546" s="5"/>
      <c r="G546" s="7">
        <v>-51.98</v>
      </c>
    </row>
    <row r="547" spans="2:7" x14ac:dyDescent="0.25">
      <c r="B547" s="5">
        <v>46206</v>
      </c>
      <c r="C547" s="6" t="s">
        <v>395</v>
      </c>
      <c r="D547" s="6" t="s">
        <v>273</v>
      </c>
      <c r="E547" s="6" t="s">
        <v>275</v>
      </c>
      <c r="F547" s="5"/>
      <c r="G547" s="7">
        <v>-111.97</v>
      </c>
    </row>
    <row r="548" spans="2:7" x14ac:dyDescent="0.25">
      <c r="B548" s="5">
        <v>46206</v>
      </c>
      <c r="C548" s="6" t="s">
        <v>396</v>
      </c>
      <c r="D548" s="6" t="s">
        <v>273</v>
      </c>
      <c r="E548" s="6" t="s">
        <v>275</v>
      </c>
      <c r="F548" s="5"/>
      <c r="G548" s="7">
        <v>-148.27000000000001</v>
      </c>
    </row>
    <row r="549" spans="2:7" x14ac:dyDescent="0.25">
      <c r="B549" s="5">
        <v>46206</v>
      </c>
      <c r="C549" s="6" t="s">
        <v>397</v>
      </c>
      <c r="D549" s="6" t="s">
        <v>273</v>
      </c>
      <c r="E549" s="6" t="s">
        <v>275</v>
      </c>
      <c r="F549" s="5"/>
      <c r="G549" s="7">
        <v>-119</v>
      </c>
    </row>
    <row r="550" spans="2:7" x14ac:dyDescent="0.25">
      <c r="B550" s="5">
        <v>46206</v>
      </c>
      <c r="C550" s="6" t="s">
        <v>398</v>
      </c>
      <c r="D550" s="6" t="s">
        <v>273</v>
      </c>
      <c r="E550" s="6" t="s">
        <v>275</v>
      </c>
      <c r="F550" s="5"/>
      <c r="G550" s="7">
        <v>-191.66</v>
      </c>
    </row>
    <row r="551" spans="2:7" x14ac:dyDescent="0.25">
      <c r="B551" s="5">
        <v>46206</v>
      </c>
      <c r="C551" s="6" t="s">
        <v>399</v>
      </c>
      <c r="D551" s="6" t="s">
        <v>273</v>
      </c>
      <c r="E551" s="6" t="s">
        <v>275</v>
      </c>
      <c r="F551" s="5"/>
      <c r="G551" s="7">
        <v>-49.99</v>
      </c>
    </row>
    <row r="552" spans="2:7" x14ac:dyDescent="0.25">
      <c r="B552" s="5">
        <v>46206</v>
      </c>
      <c r="C552" s="6" t="s">
        <v>400</v>
      </c>
      <c r="D552" s="6" t="s">
        <v>273</v>
      </c>
      <c r="E552" s="6" t="s">
        <v>275</v>
      </c>
      <c r="F552" s="5"/>
      <c r="G552" s="7">
        <v>-447.8</v>
      </c>
    </row>
    <row r="553" spans="2:7" x14ac:dyDescent="0.25">
      <c r="B553" s="5">
        <v>46206</v>
      </c>
      <c r="C553" s="6" t="s">
        <v>401</v>
      </c>
      <c r="D553" s="6" t="s">
        <v>273</v>
      </c>
      <c r="E553" s="6" t="s">
        <v>275</v>
      </c>
      <c r="F553" s="5"/>
      <c r="G553" s="7">
        <v>-166.56</v>
      </c>
    </row>
    <row r="554" spans="2:7" x14ac:dyDescent="0.25">
      <c r="B554" s="5">
        <v>46206</v>
      </c>
      <c r="C554" s="6" t="s">
        <v>670</v>
      </c>
      <c r="D554" s="6" t="s">
        <v>273</v>
      </c>
      <c r="E554" s="6" t="s">
        <v>275</v>
      </c>
      <c r="F554" s="5"/>
      <c r="G554" s="7">
        <v>-83.18</v>
      </c>
    </row>
    <row r="555" spans="2:7" x14ac:dyDescent="0.25">
      <c r="B555" s="5">
        <v>46206</v>
      </c>
      <c r="C555" s="6" t="s">
        <v>671</v>
      </c>
      <c r="D555" s="6" t="s">
        <v>273</v>
      </c>
      <c r="E555" s="6" t="s">
        <v>275</v>
      </c>
      <c r="F555" s="5"/>
      <c r="G555" s="7">
        <v>-69.95</v>
      </c>
    </row>
    <row r="556" spans="2:7" x14ac:dyDescent="0.25">
      <c r="B556" s="5">
        <v>46206</v>
      </c>
      <c r="C556" s="6" t="s">
        <v>672</v>
      </c>
      <c r="D556" s="6" t="s">
        <v>273</v>
      </c>
      <c r="E556" s="6" t="s">
        <v>275</v>
      </c>
      <c r="F556" s="5"/>
      <c r="G556" s="7">
        <v>-8.6</v>
      </c>
    </row>
    <row r="557" spans="2:7" x14ac:dyDescent="0.25">
      <c r="B557" s="5">
        <v>46206</v>
      </c>
      <c r="C557" s="6" t="s">
        <v>673</v>
      </c>
      <c r="D557" s="6" t="s">
        <v>273</v>
      </c>
      <c r="E557" s="6" t="s">
        <v>275</v>
      </c>
      <c r="F557" s="5"/>
      <c r="G557" s="7">
        <v>-1054.68</v>
      </c>
    </row>
    <row r="558" spans="2:7" x14ac:dyDescent="0.25">
      <c r="B558" s="5">
        <v>46206</v>
      </c>
      <c r="C558" s="6" t="s">
        <v>674</v>
      </c>
      <c r="D558" s="6" t="s">
        <v>273</v>
      </c>
      <c r="E558" s="6" t="s">
        <v>275</v>
      </c>
      <c r="F558" s="5"/>
      <c r="G558" s="7">
        <v>-128.44999999999999</v>
      </c>
    </row>
    <row r="559" spans="2:7" x14ac:dyDescent="0.25">
      <c r="B559" s="5">
        <v>46206</v>
      </c>
      <c r="C559" s="6" t="s">
        <v>355</v>
      </c>
      <c r="D559" s="6" t="s">
        <v>273</v>
      </c>
      <c r="E559" s="6" t="s">
        <v>275</v>
      </c>
      <c r="F559" s="5"/>
      <c r="G559" s="7">
        <v>-379.59</v>
      </c>
    </row>
    <row r="560" spans="2:7" x14ac:dyDescent="0.25">
      <c r="B560" s="5">
        <v>46207</v>
      </c>
      <c r="C560" s="6" t="s">
        <v>688</v>
      </c>
      <c r="D560" s="6" t="s">
        <v>87</v>
      </c>
      <c r="E560" s="6" t="s">
        <v>100</v>
      </c>
      <c r="F560" s="5"/>
      <c r="G560" s="7">
        <v>-207</v>
      </c>
    </row>
    <row r="561" spans="2:7" x14ac:dyDescent="0.25">
      <c r="B561" s="5">
        <v>46208</v>
      </c>
      <c r="C561" s="6" t="s">
        <v>687</v>
      </c>
      <c r="D561" s="6" t="s">
        <v>87</v>
      </c>
      <c r="E561" s="6" t="s">
        <v>100</v>
      </c>
      <c r="F561" s="5"/>
      <c r="G561" s="7">
        <v>-200</v>
      </c>
    </row>
    <row r="562" spans="2:7" x14ac:dyDescent="0.25">
      <c r="B562" s="5">
        <v>46213</v>
      </c>
      <c r="C562" s="6" t="s">
        <v>684</v>
      </c>
      <c r="D562" s="6" t="s">
        <v>87</v>
      </c>
      <c r="E562" s="6" t="s">
        <v>100</v>
      </c>
      <c r="F562" s="5"/>
      <c r="G562" s="7">
        <v>-1300</v>
      </c>
    </row>
    <row r="563" spans="2:7" x14ac:dyDescent="0.25">
      <c r="B563" s="5">
        <v>46213</v>
      </c>
      <c r="C563" s="6" t="s">
        <v>685</v>
      </c>
      <c r="D563" s="6" t="s">
        <v>87</v>
      </c>
      <c r="E563" s="6" t="s">
        <v>100</v>
      </c>
      <c r="F563" s="5"/>
      <c r="G563" s="7">
        <v>-676.17</v>
      </c>
    </row>
    <row r="564" spans="2:7" x14ac:dyDescent="0.25">
      <c r="B564" s="5">
        <v>46213</v>
      </c>
      <c r="C564" s="6" t="s">
        <v>686</v>
      </c>
      <c r="D564" s="6" t="s">
        <v>87</v>
      </c>
      <c r="E564" s="6" t="s">
        <v>100</v>
      </c>
      <c r="F564" s="5"/>
      <c r="G564" s="7">
        <v>-215.5</v>
      </c>
    </row>
    <row r="565" spans="2:7" x14ac:dyDescent="0.25">
      <c r="B565" s="5">
        <v>46213</v>
      </c>
      <c r="C565" s="6" t="s">
        <v>689</v>
      </c>
      <c r="D565" s="6" t="s">
        <v>87</v>
      </c>
      <c r="E565" s="6" t="s">
        <v>274</v>
      </c>
      <c r="F565" s="5"/>
      <c r="G565" s="7">
        <v>-115.52</v>
      </c>
    </row>
    <row r="566" spans="2:7" x14ac:dyDescent="0.25">
      <c r="B566" s="5">
        <v>46213</v>
      </c>
      <c r="C566" s="6" t="s">
        <v>690</v>
      </c>
      <c r="D566" s="6" t="s">
        <v>87</v>
      </c>
      <c r="E566" s="6" t="s">
        <v>274</v>
      </c>
      <c r="F566" s="5"/>
      <c r="G566" s="7">
        <v>-250</v>
      </c>
    </row>
    <row r="567" spans="2:7" x14ac:dyDescent="0.25">
      <c r="B567" s="5">
        <v>46237</v>
      </c>
      <c r="C567" s="6" t="s">
        <v>402</v>
      </c>
      <c r="D567" s="6" t="s">
        <v>273</v>
      </c>
      <c r="E567" s="6" t="s">
        <v>275</v>
      </c>
      <c r="F567" s="5"/>
      <c r="G567" s="7">
        <v>-51.97</v>
      </c>
    </row>
    <row r="568" spans="2:7" x14ac:dyDescent="0.25">
      <c r="B568" s="5">
        <v>46237</v>
      </c>
      <c r="C568" s="6" t="s">
        <v>403</v>
      </c>
      <c r="D568" s="6" t="s">
        <v>273</v>
      </c>
      <c r="E568" s="6" t="s">
        <v>275</v>
      </c>
      <c r="F568" s="5"/>
      <c r="G568" s="7">
        <v>-68.400000000000006</v>
      </c>
    </row>
    <row r="569" spans="2:7" x14ac:dyDescent="0.25">
      <c r="B569" s="5">
        <v>46237</v>
      </c>
      <c r="C569" s="6" t="s">
        <v>403</v>
      </c>
      <c r="D569" s="6" t="s">
        <v>273</v>
      </c>
      <c r="E569" s="6" t="s">
        <v>275</v>
      </c>
      <c r="F569" s="5"/>
      <c r="G569" s="7">
        <v>-63.2</v>
      </c>
    </row>
    <row r="570" spans="2:7" x14ac:dyDescent="0.25">
      <c r="B570" s="5">
        <v>46237</v>
      </c>
      <c r="C570" s="6" t="s">
        <v>404</v>
      </c>
      <c r="D570" s="6" t="s">
        <v>273</v>
      </c>
      <c r="E570" s="6" t="s">
        <v>275</v>
      </c>
      <c r="F570" s="5"/>
      <c r="G570" s="7">
        <v>-30.24</v>
      </c>
    </row>
    <row r="571" spans="2:7" x14ac:dyDescent="0.25">
      <c r="B571" s="5">
        <v>46237</v>
      </c>
      <c r="C571" s="6" t="s">
        <v>405</v>
      </c>
      <c r="D571" s="6" t="s">
        <v>273</v>
      </c>
      <c r="E571" s="6" t="s">
        <v>275</v>
      </c>
      <c r="F571" s="5"/>
      <c r="G571" s="7">
        <v>-70.819999999999993</v>
      </c>
    </row>
    <row r="572" spans="2:7" x14ac:dyDescent="0.25">
      <c r="B572" s="5">
        <v>46237</v>
      </c>
      <c r="C572" s="6" t="s">
        <v>406</v>
      </c>
      <c r="D572" s="6" t="s">
        <v>273</v>
      </c>
      <c r="E572" s="6" t="s">
        <v>275</v>
      </c>
      <c r="F572" s="5"/>
      <c r="G572" s="7">
        <v>-41.5</v>
      </c>
    </row>
    <row r="573" spans="2:7" x14ac:dyDescent="0.25">
      <c r="B573" s="5">
        <v>46237</v>
      </c>
      <c r="C573" s="6" t="s">
        <v>407</v>
      </c>
      <c r="D573" s="6" t="s">
        <v>273</v>
      </c>
      <c r="E573" s="6" t="s">
        <v>275</v>
      </c>
      <c r="F573" s="5"/>
      <c r="G573" s="7">
        <v>-83</v>
      </c>
    </row>
    <row r="574" spans="2:7" x14ac:dyDescent="0.25">
      <c r="B574" s="5">
        <v>46237</v>
      </c>
      <c r="C574" s="6" t="s">
        <v>408</v>
      </c>
      <c r="D574" s="6" t="s">
        <v>273</v>
      </c>
      <c r="E574" s="6" t="s">
        <v>275</v>
      </c>
      <c r="F574" s="5"/>
      <c r="G574" s="7">
        <v>-31.09</v>
      </c>
    </row>
    <row r="575" spans="2:7" x14ac:dyDescent="0.25">
      <c r="B575" s="5">
        <v>46237</v>
      </c>
      <c r="C575" s="6" t="s">
        <v>409</v>
      </c>
      <c r="D575" s="6" t="s">
        <v>273</v>
      </c>
      <c r="E575" s="6" t="s">
        <v>275</v>
      </c>
      <c r="F575" s="5"/>
      <c r="G575" s="7">
        <v>-44.23</v>
      </c>
    </row>
    <row r="576" spans="2:7" x14ac:dyDescent="0.25">
      <c r="B576" s="5">
        <v>46237</v>
      </c>
      <c r="C576" s="6" t="s">
        <v>410</v>
      </c>
      <c r="D576" s="6" t="s">
        <v>273</v>
      </c>
      <c r="E576" s="6" t="s">
        <v>275</v>
      </c>
      <c r="F576" s="5"/>
      <c r="G576" s="7">
        <v>-34.68</v>
      </c>
    </row>
    <row r="577" spans="2:7" x14ac:dyDescent="0.25">
      <c r="B577" s="5">
        <v>46237</v>
      </c>
      <c r="C577" s="6" t="s">
        <v>411</v>
      </c>
      <c r="D577" s="6" t="s">
        <v>273</v>
      </c>
      <c r="E577" s="6" t="s">
        <v>275</v>
      </c>
      <c r="F577" s="5"/>
      <c r="G577" s="7">
        <v>-40.47</v>
      </c>
    </row>
    <row r="578" spans="2:7" x14ac:dyDescent="0.25">
      <c r="B578" s="5">
        <v>46237</v>
      </c>
      <c r="C578" s="6" t="s">
        <v>412</v>
      </c>
      <c r="D578" s="6" t="s">
        <v>273</v>
      </c>
      <c r="E578" s="6" t="s">
        <v>275</v>
      </c>
      <c r="F578" s="5"/>
      <c r="G578" s="7">
        <v>-83</v>
      </c>
    </row>
    <row r="579" spans="2:7" x14ac:dyDescent="0.25">
      <c r="B579" s="5">
        <v>46237</v>
      </c>
      <c r="C579" s="6" t="s">
        <v>413</v>
      </c>
      <c r="D579" s="6" t="s">
        <v>273</v>
      </c>
      <c r="E579" s="6" t="s">
        <v>275</v>
      </c>
      <c r="F579" s="5"/>
      <c r="G579" s="7">
        <v>-41.5</v>
      </c>
    </row>
    <row r="580" spans="2:7" x14ac:dyDescent="0.25">
      <c r="B580" s="5">
        <v>46237</v>
      </c>
      <c r="C580" s="6" t="s">
        <v>414</v>
      </c>
      <c r="D580" s="6" t="s">
        <v>273</v>
      </c>
      <c r="E580" s="6" t="s">
        <v>275</v>
      </c>
      <c r="F580" s="5"/>
      <c r="G580" s="7">
        <v>-64.03</v>
      </c>
    </row>
    <row r="581" spans="2:7" x14ac:dyDescent="0.25">
      <c r="B581" s="5">
        <v>46237</v>
      </c>
      <c r="C581" s="6" t="s">
        <v>415</v>
      </c>
      <c r="D581" s="6" t="s">
        <v>273</v>
      </c>
      <c r="E581" s="6" t="s">
        <v>275</v>
      </c>
      <c r="F581" s="5"/>
      <c r="G581" s="7">
        <v>-18.84</v>
      </c>
    </row>
    <row r="582" spans="2:7" x14ac:dyDescent="0.25">
      <c r="B582" s="5">
        <v>46237</v>
      </c>
      <c r="C582" s="6" t="s">
        <v>416</v>
      </c>
      <c r="D582" s="6" t="s">
        <v>273</v>
      </c>
      <c r="E582" s="6" t="s">
        <v>275</v>
      </c>
      <c r="F582" s="5"/>
      <c r="G582" s="7">
        <v>-54.73</v>
      </c>
    </row>
    <row r="583" spans="2:7" x14ac:dyDescent="0.25">
      <c r="B583" s="5">
        <v>46237</v>
      </c>
      <c r="C583" s="6" t="s">
        <v>417</v>
      </c>
      <c r="D583" s="6" t="s">
        <v>273</v>
      </c>
      <c r="E583" s="6" t="s">
        <v>275</v>
      </c>
      <c r="F583" s="5"/>
      <c r="G583" s="7">
        <v>-264.89999999999998</v>
      </c>
    </row>
    <row r="584" spans="2:7" x14ac:dyDescent="0.25">
      <c r="B584" s="5">
        <v>46237</v>
      </c>
      <c r="C584" s="6" t="s">
        <v>418</v>
      </c>
      <c r="D584" s="6" t="s">
        <v>273</v>
      </c>
      <c r="E584" s="6" t="s">
        <v>275</v>
      </c>
      <c r="F584" s="5"/>
      <c r="G584" s="7">
        <v>-89</v>
      </c>
    </row>
    <row r="585" spans="2:7" x14ac:dyDescent="0.25">
      <c r="B585" s="5">
        <v>46237</v>
      </c>
      <c r="C585" s="6" t="s">
        <v>419</v>
      </c>
      <c r="D585" s="6" t="s">
        <v>273</v>
      </c>
      <c r="E585" s="6" t="s">
        <v>275</v>
      </c>
      <c r="F585" s="5"/>
      <c r="G585" s="7">
        <v>-45.8</v>
      </c>
    </row>
    <row r="586" spans="2:7" x14ac:dyDescent="0.25">
      <c r="B586" s="5">
        <v>46237</v>
      </c>
      <c r="C586" s="6" t="s">
        <v>420</v>
      </c>
      <c r="D586" s="6" t="s">
        <v>273</v>
      </c>
      <c r="E586" s="6" t="s">
        <v>275</v>
      </c>
      <c r="F586" s="5"/>
      <c r="G586" s="7">
        <v>-16.07</v>
      </c>
    </row>
    <row r="587" spans="2:7" x14ac:dyDescent="0.25">
      <c r="B587" s="5">
        <v>46237</v>
      </c>
      <c r="C587" s="6" t="s">
        <v>421</v>
      </c>
      <c r="D587" s="6" t="s">
        <v>273</v>
      </c>
      <c r="E587" s="6" t="s">
        <v>275</v>
      </c>
      <c r="F587" s="5"/>
      <c r="G587" s="7">
        <v>-55.46</v>
      </c>
    </row>
    <row r="588" spans="2:7" x14ac:dyDescent="0.25">
      <c r="B588" s="5">
        <v>46237</v>
      </c>
      <c r="C588" s="6" t="s">
        <v>422</v>
      </c>
      <c r="D588" s="6" t="s">
        <v>273</v>
      </c>
      <c r="E588" s="6" t="s">
        <v>275</v>
      </c>
      <c r="F588" s="5"/>
      <c r="G588" s="7">
        <v>-129.80000000000001</v>
      </c>
    </row>
    <row r="589" spans="2:7" x14ac:dyDescent="0.25">
      <c r="B589" s="5">
        <v>46237</v>
      </c>
      <c r="C589" s="6" t="s">
        <v>423</v>
      </c>
      <c r="D589" s="6" t="s">
        <v>273</v>
      </c>
      <c r="E589" s="6" t="s">
        <v>275</v>
      </c>
      <c r="F589" s="5"/>
      <c r="G589" s="7">
        <v>-65.94</v>
      </c>
    </row>
    <row r="590" spans="2:7" x14ac:dyDescent="0.25">
      <c r="B590" s="5">
        <v>46237</v>
      </c>
      <c r="C590" s="6" t="s">
        <v>424</v>
      </c>
      <c r="D590" s="6" t="s">
        <v>273</v>
      </c>
      <c r="E590" s="6" t="s">
        <v>275</v>
      </c>
      <c r="F590" s="5"/>
      <c r="G590" s="7">
        <v>-239.9</v>
      </c>
    </row>
    <row r="591" spans="2:7" x14ac:dyDescent="0.25">
      <c r="B591" s="5">
        <v>46237</v>
      </c>
      <c r="C591" s="6" t="s">
        <v>425</v>
      </c>
      <c r="D591" s="6" t="s">
        <v>273</v>
      </c>
      <c r="E591" s="6" t="s">
        <v>275</v>
      </c>
      <c r="F591" s="5"/>
      <c r="G591" s="7">
        <v>-126.4</v>
      </c>
    </row>
    <row r="592" spans="2:7" x14ac:dyDescent="0.25">
      <c r="B592" s="5">
        <v>46237</v>
      </c>
      <c r="C592" s="6" t="s">
        <v>426</v>
      </c>
      <c r="D592" s="6" t="s">
        <v>273</v>
      </c>
      <c r="E592" s="6" t="s">
        <v>275</v>
      </c>
      <c r="F592" s="5"/>
      <c r="G592" s="7">
        <v>-76.099999999999994</v>
      </c>
    </row>
    <row r="593" spans="2:7" x14ac:dyDescent="0.25">
      <c r="B593" s="5">
        <v>46237</v>
      </c>
      <c r="C593" s="6" t="s">
        <v>427</v>
      </c>
      <c r="D593" s="6" t="s">
        <v>273</v>
      </c>
      <c r="E593" s="6" t="s">
        <v>275</v>
      </c>
      <c r="F593" s="5"/>
      <c r="G593" s="7">
        <v>-52.48</v>
      </c>
    </row>
    <row r="594" spans="2:7" x14ac:dyDescent="0.25">
      <c r="B594" s="5">
        <v>46237</v>
      </c>
      <c r="C594" s="6" t="s">
        <v>428</v>
      </c>
      <c r="D594" s="6" t="s">
        <v>273</v>
      </c>
      <c r="E594" s="6" t="s">
        <v>275</v>
      </c>
      <c r="F594" s="5"/>
      <c r="G594" s="7">
        <v>-36.65</v>
      </c>
    </row>
    <row r="595" spans="2:7" x14ac:dyDescent="0.25">
      <c r="B595" s="5">
        <v>46237</v>
      </c>
      <c r="C595" s="6" t="s">
        <v>429</v>
      </c>
      <c r="D595" s="6" t="s">
        <v>273</v>
      </c>
      <c r="E595" s="6" t="s">
        <v>275</v>
      </c>
      <c r="F595" s="5"/>
      <c r="G595" s="7">
        <v>-51.98</v>
      </c>
    </row>
    <row r="596" spans="2:7" x14ac:dyDescent="0.25">
      <c r="B596" s="5">
        <v>46237</v>
      </c>
      <c r="C596" s="6" t="s">
        <v>430</v>
      </c>
      <c r="D596" s="6" t="s">
        <v>273</v>
      </c>
      <c r="E596" s="6" t="s">
        <v>275</v>
      </c>
      <c r="F596" s="5"/>
      <c r="G596" s="7">
        <v>-111.97</v>
      </c>
    </row>
    <row r="597" spans="2:7" x14ac:dyDescent="0.25">
      <c r="B597" s="5">
        <v>46237</v>
      </c>
      <c r="C597" s="6" t="s">
        <v>431</v>
      </c>
      <c r="D597" s="6" t="s">
        <v>273</v>
      </c>
      <c r="E597" s="6" t="s">
        <v>275</v>
      </c>
      <c r="F597" s="5"/>
      <c r="G597" s="7">
        <v>-148.27000000000001</v>
      </c>
    </row>
    <row r="598" spans="2:7" x14ac:dyDescent="0.25">
      <c r="B598" s="5">
        <v>46237</v>
      </c>
      <c r="C598" s="6" t="s">
        <v>432</v>
      </c>
      <c r="D598" s="6" t="s">
        <v>273</v>
      </c>
      <c r="E598" s="6" t="s">
        <v>275</v>
      </c>
      <c r="F598" s="5"/>
      <c r="G598" s="7">
        <v>-119</v>
      </c>
    </row>
    <row r="599" spans="2:7" x14ac:dyDescent="0.25">
      <c r="B599" s="5">
        <v>46237</v>
      </c>
      <c r="C599" s="6" t="s">
        <v>433</v>
      </c>
      <c r="D599" s="6" t="s">
        <v>273</v>
      </c>
      <c r="E599" s="6" t="s">
        <v>275</v>
      </c>
      <c r="F599" s="5"/>
      <c r="G599" s="7">
        <v>-191.66</v>
      </c>
    </row>
    <row r="600" spans="2:7" x14ac:dyDescent="0.25">
      <c r="B600" s="5">
        <v>46237</v>
      </c>
      <c r="C600" s="6" t="s">
        <v>434</v>
      </c>
      <c r="D600" s="6" t="s">
        <v>273</v>
      </c>
      <c r="E600" s="6" t="s">
        <v>275</v>
      </c>
      <c r="F600" s="5"/>
      <c r="G600" s="7">
        <v>-49.99</v>
      </c>
    </row>
    <row r="601" spans="2:7" x14ac:dyDescent="0.25">
      <c r="B601" s="5">
        <v>46237</v>
      </c>
      <c r="C601" s="6" t="s">
        <v>435</v>
      </c>
      <c r="D601" s="6" t="s">
        <v>273</v>
      </c>
      <c r="E601" s="6" t="s">
        <v>275</v>
      </c>
      <c r="F601" s="5"/>
      <c r="G601" s="7">
        <v>-447.8</v>
      </c>
    </row>
    <row r="602" spans="2:7" x14ac:dyDescent="0.25">
      <c r="B602" s="5">
        <v>46237</v>
      </c>
      <c r="C602" s="6" t="s">
        <v>436</v>
      </c>
      <c r="D602" s="6" t="s">
        <v>273</v>
      </c>
      <c r="E602" s="6" t="s">
        <v>275</v>
      </c>
      <c r="F602" s="5"/>
      <c r="G602" s="7">
        <v>-166.56</v>
      </c>
    </row>
    <row r="603" spans="2:7" x14ac:dyDescent="0.25">
      <c r="B603" s="5">
        <v>46237</v>
      </c>
      <c r="C603" s="6" t="s">
        <v>675</v>
      </c>
      <c r="D603" s="6" t="s">
        <v>273</v>
      </c>
      <c r="E603" s="6" t="s">
        <v>275</v>
      </c>
      <c r="F603" s="5"/>
      <c r="G603" s="7">
        <v>-83.18</v>
      </c>
    </row>
    <row r="604" spans="2:7" x14ac:dyDescent="0.25">
      <c r="B604" s="5">
        <v>46237</v>
      </c>
      <c r="C604" s="6" t="s">
        <v>676</v>
      </c>
      <c r="D604" s="6" t="s">
        <v>273</v>
      </c>
      <c r="E604" s="6" t="s">
        <v>275</v>
      </c>
      <c r="F604" s="5"/>
      <c r="G604" s="7">
        <v>-8.6</v>
      </c>
    </row>
    <row r="605" spans="2:7" x14ac:dyDescent="0.25">
      <c r="B605" s="5">
        <v>46237</v>
      </c>
      <c r="C605" s="6" t="s">
        <v>677</v>
      </c>
      <c r="D605" s="6" t="s">
        <v>273</v>
      </c>
      <c r="E605" s="6" t="s">
        <v>275</v>
      </c>
      <c r="F605" s="5"/>
      <c r="G605" s="7">
        <v>-1054.68</v>
      </c>
    </row>
    <row r="606" spans="2:7" x14ac:dyDescent="0.25">
      <c r="B606" s="5">
        <v>46237</v>
      </c>
      <c r="C606" s="6" t="s">
        <v>354</v>
      </c>
      <c r="D606" s="6" t="s">
        <v>273</v>
      </c>
      <c r="E606" s="6" t="s">
        <v>275</v>
      </c>
      <c r="F606" s="5"/>
      <c r="G606" s="7">
        <v>-128.44999999999999</v>
      </c>
    </row>
    <row r="607" spans="2:7" x14ac:dyDescent="0.25">
      <c r="B607" s="5">
        <v>46238</v>
      </c>
      <c r="C607" s="6" t="s">
        <v>688</v>
      </c>
      <c r="D607" s="6" t="s">
        <v>87</v>
      </c>
      <c r="E607" s="6" t="s">
        <v>100</v>
      </c>
      <c r="F607" s="5"/>
      <c r="G607" s="7">
        <v>-207</v>
      </c>
    </row>
    <row r="608" spans="2:7" x14ac:dyDescent="0.25">
      <c r="B608" s="5">
        <v>46239</v>
      </c>
      <c r="C608" s="6" t="s">
        <v>687</v>
      </c>
      <c r="D608" s="6" t="s">
        <v>87</v>
      </c>
      <c r="E608" s="6" t="s">
        <v>100</v>
      </c>
      <c r="F608" s="5"/>
      <c r="G608" s="7">
        <v>-200</v>
      </c>
    </row>
    <row r="609" spans="2:7" x14ac:dyDescent="0.25">
      <c r="B609" s="5">
        <v>46244</v>
      </c>
      <c r="C609" s="6" t="s">
        <v>684</v>
      </c>
      <c r="D609" s="6" t="s">
        <v>87</v>
      </c>
      <c r="E609" s="6" t="s">
        <v>100</v>
      </c>
      <c r="F609" s="5"/>
      <c r="G609" s="7">
        <v>-1300</v>
      </c>
    </row>
    <row r="610" spans="2:7" x14ac:dyDescent="0.25">
      <c r="B610" s="5">
        <v>46244</v>
      </c>
      <c r="C610" s="6" t="s">
        <v>685</v>
      </c>
      <c r="D610" s="6" t="s">
        <v>87</v>
      </c>
      <c r="E610" s="6" t="s">
        <v>100</v>
      </c>
      <c r="F610" s="5"/>
      <c r="G610" s="7">
        <v>-676.17</v>
      </c>
    </row>
    <row r="611" spans="2:7" x14ac:dyDescent="0.25">
      <c r="B611" s="5">
        <v>46244</v>
      </c>
      <c r="C611" s="6" t="s">
        <v>686</v>
      </c>
      <c r="D611" s="6" t="s">
        <v>87</v>
      </c>
      <c r="E611" s="6" t="s">
        <v>100</v>
      </c>
      <c r="F611" s="5"/>
      <c r="G611" s="7">
        <v>-215.5</v>
      </c>
    </row>
    <row r="612" spans="2:7" x14ac:dyDescent="0.25">
      <c r="B612" s="5">
        <v>46244</v>
      </c>
      <c r="C612" s="6" t="s">
        <v>689</v>
      </c>
      <c r="D612" s="6" t="s">
        <v>87</v>
      </c>
      <c r="E612" s="6" t="s">
        <v>274</v>
      </c>
      <c r="F612" s="5"/>
      <c r="G612" s="7">
        <v>-115.52</v>
      </c>
    </row>
    <row r="613" spans="2:7" x14ac:dyDescent="0.25">
      <c r="B613" s="5">
        <v>46244</v>
      </c>
      <c r="C613" s="6" t="s">
        <v>690</v>
      </c>
      <c r="D613" s="6" t="s">
        <v>87</v>
      </c>
      <c r="E613" s="6" t="s">
        <v>274</v>
      </c>
      <c r="F613" s="5"/>
      <c r="G613" s="7">
        <v>-250</v>
      </c>
    </row>
    <row r="614" spans="2:7" x14ac:dyDescent="0.25">
      <c r="B614" s="5">
        <v>46268</v>
      </c>
      <c r="C614" s="6" t="s">
        <v>437</v>
      </c>
      <c r="D614" s="6" t="s">
        <v>273</v>
      </c>
      <c r="E614" s="6" t="s">
        <v>275</v>
      </c>
      <c r="F614" s="5"/>
      <c r="G614" s="7">
        <v>-51.97</v>
      </c>
    </row>
    <row r="615" spans="2:7" x14ac:dyDescent="0.25">
      <c r="B615" s="5">
        <v>46268</v>
      </c>
      <c r="C615" s="6" t="s">
        <v>438</v>
      </c>
      <c r="D615" s="6" t="s">
        <v>273</v>
      </c>
      <c r="E615" s="6" t="s">
        <v>275</v>
      </c>
      <c r="F615" s="5"/>
      <c r="G615" s="7">
        <v>-68.400000000000006</v>
      </c>
    </row>
    <row r="616" spans="2:7" x14ac:dyDescent="0.25">
      <c r="B616" s="5">
        <v>46268</v>
      </c>
      <c r="C616" s="6" t="s">
        <v>438</v>
      </c>
      <c r="D616" s="6" t="s">
        <v>273</v>
      </c>
      <c r="E616" s="6" t="s">
        <v>275</v>
      </c>
      <c r="F616" s="5"/>
      <c r="G616" s="7">
        <v>-63.2</v>
      </c>
    </row>
    <row r="617" spans="2:7" x14ac:dyDescent="0.25">
      <c r="B617" s="5">
        <v>46268</v>
      </c>
      <c r="C617" s="6" t="s">
        <v>439</v>
      </c>
      <c r="D617" s="6" t="s">
        <v>273</v>
      </c>
      <c r="E617" s="6" t="s">
        <v>275</v>
      </c>
      <c r="F617" s="5"/>
      <c r="G617" s="7">
        <v>-30.24</v>
      </c>
    </row>
    <row r="618" spans="2:7" x14ac:dyDescent="0.25">
      <c r="B618" s="5">
        <v>46268</v>
      </c>
      <c r="C618" s="6" t="s">
        <v>440</v>
      </c>
      <c r="D618" s="6" t="s">
        <v>273</v>
      </c>
      <c r="E618" s="6" t="s">
        <v>275</v>
      </c>
      <c r="F618" s="5"/>
      <c r="G618" s="7">
        <v>-70.819999999999993</v>
      </c>
    </row>
    <row r="619" spans="2:7" x14ac:dyDescent="0.25">
      <c r="B619" s="5">
        <v>46268</v>
      </c>
      <c r="C619" s="6" t="s">
        <v>441</v>
      </c>
      <c r="D619" s="6" t="s">
        <v>273</v>
      </c>
      <c r="E619" s="6" t="s">
        <v>275</v>
      </c>
      <c r="F619" s="5"/>
      <c r="G619" s="7">
        <v>-41.5</v>
      </c>
    </row>
    <row r="620" spans="2:7" x14ac:dyDescent="0.25">
      <c r="B620" s="5">
        <v>46268</v>
      </c>
      <c r="C620" s="6" t="s">
        <v>442</v>
      </c>
      <c r="D620" s="6" t="s">
        <v>273</v>
      </c>
      <c r="E620" s="6" t="s">
        <v>275</v>
      </c>
      <c r="F620" s="5"/>
      <c r="G620" s="7">
        <v>-83</v>
      </c>
    </row>
    <row r="621" spans="2:7" x14ac:dyDescent="0.25">
      <c r="B621" s="5">
        <v>46268</v>
      </c>
      <c r="C621" s="6" t="s">
        <v>443</v>
      </c>
      <c r="D621" s="6" t="s">
        <v>273</v>
      </c>
      <c r="E621" s="6" t="s">
        <v>275</v>
      </c>
      <c r="F621" s="5"/>
      <c r="G621" s="7">
        <v>-31.09</v>
      </c>
    </row>
    <row r="622" spans="2:7" x14ac:dyDescent="0.25">
      <c r="B622" s="5">
        <v>46268</v>
      </c>
      <c r="C622" s="6" t="s">
        <v>444</v>
      </c>
      <c r="D622" s="6" t="s">
        <v>273</v>
      </c>
      <c r="E622" s="6" t="s">
        <v>275</v>
      </c>
      <c r="F622" s="5"/>
      <c r="G622" s="7">
        <v>-44.23</v>
      </c>
    </row>
    <row r="623" spans="2:7" x14ac:dyDescent="0.25">
      <c r="B623" s="5">
        <v>46268</v>
      </c>
      <c r="C623" s="6" t="s">
        <v>445</v>
      </c>
      <c r="D623" s="6" t="s">
        <v>273</v>
      </c>
      <c r="E623" s="6" t="s">
        <v>275</v>
      </c>
      <c r="F623" s="5"/>
      <c r="G623" s="7">
        <v>-34.68</v>
      </c>
    </row>
    <row r="624" spans="2:7" x14ac:dyDescent="0.25">
      <c r="B624" s="5">
        <v>46268</v>
      </c>
      <c r="C624" s="6" t="s">
        <v>446</v>
      </c>
      <c r="D624" s="6" t="s">
        <v>273</v>
      </c>
      <c r="E624" s="6" t="s">
        <v>275</v>
      </c>
      <c r="F624" s="5"/>
      <c r="G624" s="7">
        <v>-40.47</v>
      </c>
    </row>
    <row r="625" spans="2:7" x14ac:dyDescent="0.25">
      <c r="B625" s="5">
        <v>46268</v>
      </c>
      <c r="C625" s="6" t="s">
        <v>447</v>
      </c>
      <c r="D625" s="6" t="s">
        <v>273</v>
      </c>
      <c r="E625" s="6" t="s">
        <v>275</v>
      </c>
      <c r="F625" s="5"/>
      <c r="G625" s="7">
        <v>-83</v>
      </c>
    </row>
    <row r="626" spans="2:7" x14ac:dyDescent="0.25">
      <c r="B626" s="5">
        <v>46268</v>
      </c>
      <c r="C626" s="6" t="s">
        <v>448</v>
      </c>
      <c r="D626" s="6" t="s">
        <v>273</v>
      </c>
      <c r="E626" s="6" t="s">
        <v>275</v>
      </c>
      <c r="F626" s="5"/>
      <c r="G626" s="7">
        <v>-41.5</v>
      </c>
    </row>
    <row r="627" spans="2:7" x14ac:dyDescent="0.25">
      <c r="B627" s="5">
        <v>46268</v>
      </c>
      <c r="C627" s="6" t="s">
        <v>449</v>
      </c>
      <c r="D627" s="6" t="s">
        <v>273</v>
      </c>
      <c r="E627" s="6" t="s">
        <v>275</v>
      </c>
      <c r="F627" s="5"/>
      <c r="G627" s="7">
        <v>-64.03</v>
      </c>
    </row>
    <row r="628" spans="2:7" x14ac:dyDescent="0.25">
      <c r="B628" s="5">
        <v>46268</v>
      </c>
      <c r="C628" s="6" t="s">
        <v>450</v>
      </c>
      <c r="D628" s="6" t="s">
        <v>273</v>
      </c>
      <c r="E628" s="6" t="s">
        <v>275</v>
      </c>
      <c r="F628" s="5"/>
      <c r="G628" s="7">
        <v>-18.84</v>
      </c>
    </row>
    <row r="629" spans="2:7" x14ac:dyDescent="0.25">
      <c r="B629" s="5">
        <v>46268</v>
      </c>
      <c r="C629" s="6" t="s">
        <v>451</v>
      </c>
      <c r="D629" s="6" t="s">
        <v>273</v>
      </c>
      <c r="E629" s="6" t="s">
        <v>275</v>
      </c>
      <c r="F629" s="5"/>
      <c r="G629" s="7">
        <v>-54.73</v>
      </c>
    </row>
    <row r="630" spans="2:7" x14ac:dyDescent="0.25">
      <c r="B630" s="5">
        <v>46268</v>
      </c>
      <c r="C630" s="6" t="s">
        <v>452</v>
      </c>
      <c r="D630" s="6" t="s">
        <v>273</v>
      </c>
      <c r="E630" s="6" t="s">
        <v>275</v>
      </c>
      <c r="F630" s="5"/>
      <c r="G630" s="7">
        <v>-264.89999999999998</v>
      </c>
    </row>
    <row r="631" spans="2:7" x14ac:dyDescent="0.25">
      <c r="B631" s="5">
        <v>46268</v>
      </c>
      <c r="C631" s="6" t="s">
        <v>453</v>
      </c>
      <c r="D631" s="6" t="s">
        <v>273</v>
      </c>
      <c r="E631" s="6" t="s">
        <v>275</v>
      </c>
      <c r="F631" s="5"/>
      <c r="G631" s="7">
        <v>-89</v>
      </c>
    </row>
    <row r="632" spans="2:7" x14ac:dyDescent="0.25">
      <c r="B632" s="5">
        <v>46268</v>
      </c>
      <c r="C632" s="6" t="s">
        <v>454</v>
      </c>
      <c r="D632" s="6" t="s">
        <v>273</v>
      </c>
      <c r="E632" s="6" t="s">
        <v>275</v>
      </c>
      <c r="F632" s="5"/>
      <c r="G632" s="7">
        <v>-45.8</v>
      </c>
    </row>
    <row r="633" spans="2:7" x14ac:dyDescent="0.25">
      <c r="B633" s="5">
        <v>46268</v>
      </c>
      <c r="C633" s="6" t="s">
        <v>455</v>
      </c>
      <c r="D633" s="6" t="s">
        <v>273</v>
      </c>
      <c r="E633" s="6" t="s">
        <v>275</v>
      </c>
      <c r="F633" s="5"/>
      <c r="G633" s="7">
        <v>-16.07</v>
      </c>
    </row>
    <row r="634" spans="2:7" x14ac:dyDescent="0.25">
      <c r="B634" s="5">
        <v>46268</v>
      </c>
      <c r="C634" s="6" t="s">
        <v>456</v>
      </c>
      <c r="D634" s="6" t="s">
        <v>273</v>
      </c>
      <c r="E634" s="6" t="s">
        <v>275</v>
      </c>
      <c r="F634" s="5"/>
      <c r="G634" s="7">
        <v>-55.46</v>
      </c>
    </row>
    <row r="635" spans="2:7" x14ac:dyDescent="0.25">
      <c r="B635" s="5">
        <v>46268</v>
      </c>
      <c r="C635" s="6" t="s">
        <v>457</v>
      </c>
      <c r="D635" s="6" t="s">
        <v>273</v>
      </c>
      <c r="E635" s="6" t="s">
        <v>275</v>
      </c>
      <c r="F635" s="5"/>
      <c r="G635" s="7">
        <v>-129.80000000000001</v>
      </c>
    </row>
    <row r="636" spans="2:7" x14ac:dyDescent="0.25">
      <c r="B636" s="5">
        <v>46268</v>
      </c>
      <c r="C636" s="6" t="s">
        <v>458</v>
      </c>
      <c r="D636" s="6" t="s">
        <v>273</v>
      </c>
      <c r="E636" s="6" t="s">
        <v>275</v>
      </c>
      <c r="F636" s="5"/>
      <c r="G636" s="7">
        <v>-65.94</v>
      </c>
    </row>
    <row r="637" spans="2:7" x14ac:dyDescent="0.25">
      <c r="B637" s="5">
        <v>46268</v>
      </c>
      <c r="C637" s="6" t="s">
        <v>459</v>
      </c>
      <c r="D637" s="6" t="s">
        <v>273</v>
      </c>
      <c r="E637" s="6" t="s">
        <v>275</v>
      </c>
      <c r="F637" s="5"/>
      <c r="G637" s="7">
        <v>-239.9</v>
      </c>
    </row>
    <row r="638" spans="2:7" x14ac:dyDescent="0.25">
      <c r="B638" s="5">
        <v>46268</v>
      </c>
      <c r="C638" s="6" t="s">
        <v>460</v>
      </c>
      <c r="D638" s="6" t="s">
        <v>273</v>
      </c>
      <c r="E638" s="6" t="s">
        <v>275</v>
      </c>
      <c r="F638" s="5"/>
      <c r="G638" s="7">
        <v>-126.4</v>
      </c>
    </row>
    <row r="639" spans="2:7" x14ac:dyDescent="0.25">
      <c r="B639" s="5">
        <v>46268</v>
      </c>
      <c r="C639" s="6" t="s">
        <v>461</v>
      </c>
      <c r="D639" s="6" t="s">
        <v>273</v>
      </c>
      <c r="E639" s="6" t="s">
        <v>275</v>
      </c>
      <c r="F639" s="5"/>
      <c r="G639" s="7">
        <v>-76.099999999999994</v>
      </c>
    </row>
    <row r="640" spans="2:7" x14ac:dyDescent="0.25">
      <c r="B640" s="5">
        <v>46268</v>
      </c>
      <c r="C640" s="6" t="s">
        <v>462</v>
      </c>
      <c r="D640" s="6" t="s">
        <v>273</v>
      </c>
      <c r="E640" s="6" t="s">
        <v>275</v>
      </c>
      <c r="F640" s="5"/>
      <c r="G640" s="7">
        <v>-52.48</v>
      </c>
    </row>
    <row r="641" spans="2:7" x14ac:dyDescent="0.25">
      <c r="B641" s="5">
        <v>46268</v>
      </c>
      <c r="C641" s="6" t="s">
        <v>463</v>
      </c>
      <c r="D641" s="6" t="s">
        <v>273</v>
      </c>
      <c r="E641" s="6" t="s">
        <v>275</v>
      </c>
      <c r="F641" s="5"/>
      <c r="G641" s="7">
        <v>-36.65</v>
      </c>
    </row>
    <row r="642" spans="2:7" x14ac:dyDescent="0.25">
      <c r="B642" s="5">
        <v>46268</v>
      </c>
      <c r="C642" s="6" t="s">
        <v>464</v>
      </c>
      <c r="D642" s="6" t="s">
        <v>273</v>
      </c>
      <c r="E642" s="6" t="s">
        <v>275</v>
      </c>
      <c r="F642" s="5"/>
      <c r="G642" s="7">
        <v>-51.98</v>
      </c>
    </row>
    <row r="643" spans="2:7" x14ac:dyDescent="0.25">
      <c r="B643" s="5">
        <v>46268</v>
      </c>
      <c r="C643" s="6" t="s">
        <v>465</v>
      </c>
      <c r="D643" s="6" t="s">
        <v>273</v>
      </c>
      <c r="E643" s="6" t="s">
        <v>275</v>
      </c>
      <c r="F643" s="5"/>
      <c r="G643" s="7">
        <v>-111.97</v>
      </c>
    </row>
    <row r="644" spans="2:7" x14ac:dyDescent="0.25">
      <c r="B644" s="5">
        <v>46268</v>
      </c>
      <c r="C644" s="6" t="s">
        <v>466</v>
      </c>
      <c r="D644" s="6" t="s">
        <v>273</v>
      </c>
      <c r="E644" s="6" t="s">
        <v>275</v>
      </c>
      <c r="F644" s="5"/>
      <c r="G644" s="7">
        <v>-148.27000000000001</v>
      </c>
    </row>
    <row r="645" spans="2:7" x14ac:dyDescent="0.25">
      <c r="B645" s="5">
        <v>46268</v>
      </c>
      <c r="C645" s="6" t="s">
        <v>467</v>
      </c>
      <c r="D645" s="6" t="s">
        <v>273</v>
      </c>
      <c r="E645" s="6" t="s">
        <v>275</v>
      </c>
      <c r="F645" s="5"/>
      <c r="G645" s="7">
        <v>-119</v>
      </c>
    </row>
    <row r="646" spans="2:7" x14ac:dyDescent="0.25">
      <c r="B646" s="5">
        <v>46268</v>
      </c>
      <c r="C646" s="6" t="s">
        <v>468</v>
      </c>
      <c r="D646" s="6" t="s">
        <v>273</v>
      </c>
      <c r="E646" s="6" t="s">
        <v>275</v>
      </c>
      <c r="F646" s="5"/>
      <c r="G646" s="7">
        <v>-191.66</v>
      </c>
    </row>
    <row r="647" spans="2:7" x14ac:dyDescent="0.25">
      <c r="B647" s="5">
        <v>46268</v>
      </c>
      <c r="C647" s="6" t="s">
        <v>469</v>
      </c>
      <c r="D647" s="6" t="s">
        <v>273</v>
      </c>
      <c r="E647" s="6" t="s">
        <v>275</v>
      </c>
      <c r="F647" s="5"/>
      <c r="G647" s="7">
        <v>-49.99</v>
      </c>
    </row>
    <row r="648" spans="2:7" x14ac:dyDescent="0.25">
      <c r="B648" s="5">
        <v>46268</v>
      </c>
      <c r="C648" s="6" t="s">
        <v>470</v>
      </c>
      <c r="D648" s="6" t="s">
        <v>273</v>
      </c>
      <c r="E648" s="6" t="s">
        <v>275</v>
      </c>
      <c r="F648" s="5"/>
      <c r="G648" s="7">
        <v>-447.8</v>
      </c>
    </row>
    <row r="649" spans="2:7" x14ac:dyDescent="0.25">
      <c r="B649" s="5">
        <v>46268</v>
      </c>
      <c r="C649" s="6" t="s">
        <v>471</v>
      </c>
      <c r="D649" s="6" t="s">
        <v>273</v>
      </c>
      <c r="E649" s="6" t="s">
        <v>275</v>
      </c>
      <c r="F649" s="5"/>
      <c r="G649" s="7">
        <v>-166.56</v>
      </c>
    </row>
    <row r="650" spans="2:7" x14ac:dyDescent="0.25">
      <c r="B650" s="5">
        <v>46268</v>
      </c>
      <c r="C650" s="6" t="s">
        <v>678</v>
      </c>
      <c r="D650" s="6" t="s">
        <v>273</v>
      </c>
      <c r="E650" s="6" t="s">
        <v>275</v>
      </c>
      <c r="F650" s="5"/>
      <c r="G650" s="7">
        <v>-8.6</v>
      </c>
    </row>
    <row r="651" spans="2:7" x14ac:dyDescent="0.25">
      <c r="B651" s="5">
        <v>46269</v>
      </c>
      <c r="C651" s="6" t="s">
        <v>688</v>
      </c>
      <c r="D651" s="6" t="s">
        <v>87</v>
      </c>
      <c r="E651" s="6" t="s">
        <v>100</v>
      </c>
      <c r="F651" s="5"/>
      <c r="G651" s="7">
        <v>-207</v>
      </c>
    </row>
    <row r="652" spans="2:7" x14ac:dyDescent="0.25">
      <c r="B652" s="5">
        <v>46270</v>
      </c>
      <c r="C652" s="6" t="s">
        <v>687</v>
      </c>
      <c r="D652" s="6" t="s">
        <v>87</v>
      </c>
      <c r="E652" s="6" t="s">
        <v>100</v>
      </c>
      <c r="F652" s="5"/>
      <c r="G652" s="7">
        <v>-200</v>
      </c>
    </row>
    <row r="653" spans="2:7" x14ac:dyDescent="0.25">
      <c r="B653" s="5">
        <v>46275</v>
      </c>
      <c r="C653" s="6" t="s">
        <v>684</v>
      </c>
      <c r="D653" s="6" t="s">
        <v>87</v>
      </c>
      <c r="E653" s="6" t="s">
        <v>100</v>
      </c>
      <c r="F653" s="5"/>
      <c r="G653" s="7">
        <v>-1300</v>
      </c>
    </row>
    <row r="654" spans="2:7" x14ac:dyDescent="0.25">
      <c r="B654" s="5">
        <v>46275</v>
      </c>
      <c r="C654" s="6" t="s">
        <v>685</v>
      </c>
      <c r="D654" s="6" t="s">
        <v>87</v>
      </c>
      <c r="E654" s="6" t="s">
        <v>100</v>
      </c>
      <c r="F654" s="5"/>
      <c r="G654" s="7">
        <v>-676.17</v>
      </c>
    </row>
    <row r="655" spans="2:7" x14ac:dyDescent="0.25">
      <c r="B655" s="5">
        <v>46275</v>
      </c>
      <c r="C655" s="6" t="s">
        <v>686</v>
      </c>
      <c r="D655" s="6" t="s">
        <v>87</v>
      </c>
      <c r="E655" s="6" t="s">
        <v>100</v>
      </c>
      <c r="F655" s="5"/>
      <c r="G655" s="7">
        <v>-215.5</v>
      </c>
    </row>
    <row r="656" spans="2:7" x14ac:dyDescent="0.25">
      <c r="B656" s="5">
        <v>46275</v>
      </c>
      <c r="C656" s="6" t="s">
        <v>689</v>
      </c>
      <c r="D656" s="6" t="s">
        <v>87</v>
      </c>
      <c r="E656" s="6" t="s">
        <v>274</v>
      </c>
      <c r="F656" s="5"/>
      <c r="G656" s="7">
        <v>-115.52</v>
      </c>
    </row>
    <row r="657" spans="2:7" x14ac:dyDescent="0.25">
      <c r="B657" s="5">
        <v>46275</v>
      </c>
      <c r="C657" s="6" t="s">
        <v>690</v>
      </c>
      <c r="D657" s="6" t="s">
        <v>87</v>
      </c>
      <c r="E657" s="6" t="s">
        <v>274</v>
      </c>
      <c r="F657" s="5"/>
      <c r="G657" s="7">
        <v>-250</v>
      </c>
    </row>
    <row r="658" spans="2:7" x14ac:dyDescent="0.25">
      <c r="B658" s="5">
        <v>46298</v>
      </c>
      <c r="C658" s="6" t="s">
        <v>472</v>
      </c>
      <c r="D658" s="6" t="s">
        <v>273</v>
      </c>
      <c r="E658" s="6" t="s">
        <v>275</v>
      </c>
      <c r="F658" s="5"/>
      <c r="G658" s="7">
        <v>-68.400000000000006</v>
      </c>
    </row>
    <row r="659" spans="2:7" x14ac:dyDescent="0.25">
      <c r="B659" s="5">
        <v>46298</v>
      </c>
      <c r="C659" s="6" t="s">
        <v>472</v>
      </c>
      <c r="D659" s="6" t="s">
        <v>273</v>
      </c>
      <c r="E659" s="6" t="s">
        <v>275</v>
      </c>
      <c r="F659" s="5"/>
      <c r="G659" s="7">
        <v>-63.2</v>
      </c>
    </row>
    <row r="660" spans="2:7" x14ac:dyDescent="0.25">
      <c r="B660" s="5">
        <v>46298</v>
      </c>
      <c r="C660" s="6" t="s">
        <v>473</v>
      </c>
      <c r="D660" s="6" t="s">
        <v>273</v>
      </c>
      <c r="E660" s="6" t="s">
        <v>275</v>
      </c>
      <c r="F660" s="5"/>
      <c r="G660" s="7">
        <v>-70.819999999999993</v>
      </c>
    </row>
    <row r="661" spans="2:7" x14ac:dyDescent="0.25">
      <c r="B661" s="5">
        <v>46298</v>
      </c>
      <c r="C661" s="6" t="s">
        <v>474</v>
      </c>
      <c r="D661" s="6" t="s">
        <v>273</v>
      </c>
      <c r="E661" s="6" t="s">
        <v>275</v>
      </c>
      <c r="F661" s="5"/>
      <c r="G661" s="7">
        <v>-41.5</v>
      </c>
    </row>
    <row r="662" spans="2:7" x14ac:dyDescent="0.25">
      <c r="B662" s="5">
        <v>46298</v>
      </c>
      <c r="C662" s="6" t="s">
        <v>475</v>
      </c>
      <c r="D662" s="6" t="s">
        <v>273</v>
      </c>
      <c r="E662" s="6" t="s">
        <v>275</v>
      </c>
      <c r="F662" s="5"/>
      <c r="G662" s="7">
        <v>-83</v>
      </c>
    </row>
    <row r="663" spans="2:7" x14ac:dyDescent="0.25">
      <c r="B663" s="5">
        <v>46298</v>
      </c>
      <c r="C663" s="6" t="s">
        <v>476</v>
      </c>
      <c r="D663" s="6" t="s">
        <v>273</v>
      </c>
      <c r="E663" s="6" t="s">
        <v>275</v>
      </c>
      <c r="F663" s="5"/>
      <c r="G663" s="7">
        <v>-44.23</v>
      </c>
    </row>
    <row r="664" spans="2:7" x14ac:dyDescent="0.25">
      <c r="B664" s="5">
        <v>46298</v>
      </c>
      <c r="C664" s="6" t="s">
        <v>477</v>
      </c>
      <c r="D664" s="6" t="s">
        <v>273</v>
      </c>
      <c r="E664" s="6" t="s">
        <v>275</v>
      </c>
      <c r="F664" s="5"/>
      <c r="G664" s="7">
        <v>-34.68</v>
      </c>
    </row>
    <row r="665" spans="2:7" x14ac:dyDescent="0.25">
      <c r="B665" s="5">
        <v>46298</v>
      </c>
      <c r="C665" s="6" t="s">
        <v>478</v>
      </c>
      <c r="D665" s="6" t="s">
        <v>273</v>
      </c>
      <c r="E665" s="6" t="s">
        <v>275</v>
      </c>
      <c r="F665" s="5"/>
      <c r="G665" s="7">
        <v>-40.47</v>
      </c>
    </row>
    <row r="666" spans="2:7" x14ac:dyDescent="0.25">
      <c r="B666" s="5">
        <v>46298</v>
      </c>
      <c r="C666" s="6" t="s">
        <v>479</v>
      </c>
      <c r="D666" s="6" t="s">
        <v>273</v>
      </c>
      <c r="E666" s="6" t="s">
        <v>275</v>
      </c>
      <c r="F666" s="5"/>
      <c r="G666" s="7">
        <v>-83</v>
      </c>
    </row>
    <row r="667" spans="2:7" x14ac:dyDescent="0.25">
      <c r="B667" s="5">
        <v>46298</v>
      </c>
      <c r="C667" s="6" t="s">
        <v>480</v>
      </c>
      <c r="D667" s="6" t="s">
        <v>273</v>
      </c>
      <c r="E667" s="6" t="s">
        <v>275</v>
      </c>
      <c r="F667" s="5"/>
      <c r="G667" s="7">
        <v>-41.5</v>
      </c>
    </row>
    <row r="668" spans="2:7" x14ac:dyDescent="0.25">
      <c r="B668" s="5">
        <v>46298</v>
      </c>
      <c r="C668" s="6" t="s">
        <v>481</v>
      </c>
      <c r="D668" s="6" t="s">
        <v>273</v>
      </c>
      <c r="E668" s="6" t="s">
        <v>275</v>
      </c>
      <c r="F668" s="5"/>
      <c r="G668" s="7">
        <v>-54.73</v>
      </c>
    </row>
    <row r="669" spans="2:7" x14ac:dyDescent="0.25">
      <c r="B669" s="5">
        <v>46298</v>
      </c>
      <c r="C669" s="6" t="s">
        <v>482</v>
      </c>
      <c r="D669" s="6" t="s">
        <v>273</v>
      </c>
      <c r="E669" s="6" t="s">
        <v>275</v>
      </c>
      <c r="F669" s="5"/>
      <c r="G669" s="7">
        <v>-264.89999999999998</v>
      </c>
    </row>
    <row r="670" spans="2:7" x14ac:dyDescent="0.25">
      <c r="B670" s="5">
        <v>46298</v>
      </c>
      <c r="C670" s="6" t="s">
        <v>483</v>
      </c>
      <c r="D670" s="6" t="s">
        <v>273</v>
      </c>
      <c r="E670" s="6" t="s">
        <v>275</v>
      </c>
      <c r="F670" s="5"/>
      <c r="G670" s="7">
        <v>-16.07</v>
      </c>
    </row>
    <row r="671" spans="2:7" x14ac:dyDescent="0.25">
      <c r="B671" s="5">
        <v>46298</v>
      </c>
      <c r="C671" s="6" t="s">
        <v>484</v>
      </c>
      <c r="D671" s="6" t="s">
        <v>273</v>
      </c>
      <c r="E671" s="6" t="s">
        <v>275</v>
      </c>
      <c r="F671" s="5"/>
      <c r="G671" s="7">
        <v>-55.46</v>
      </c>
    </row>
    <row r="672" spans="2:7" x14ac:dyDescent="0.25">
      <c r="B672" s="5">
        <v>46298</v>
      </c>
      <c r="C672" s="6" t="s">
        <v>485</v>
      </c>
      <c r="D672" s="6" t="s">
        <v>273</v>
      </c>
      <c r="E672" s="6" t="s">
        <v>275</v>
      </c>
      <c r="F672" s="5"/>
      <c r="G672" s="7">
        <v>-129.80000000000001</v>
      </c>
    </row>
    <row r="673" spans="2:7" x14ac:dyDescent="0.25">
      <c r="B673" s="5">
        <v>46298</v>
      </c>
      <c r="C673" s="6" t="s">
        <v>486</v>
      </c>
      <c r="D673" s="6" t="s">
        <v>273</v>
      </c>
      <c r="E673" s="6" t="s">
        <v>275</v>
      </c>
      <c r="F673" s="5"/>
      <c r="G673" s="7">
        <v>-65.94</v>
      </c>
    </row>
    <row r="674" spans="2:7" x14ac:dyDescent="0.25">
      <c r="B674" s="5">
        <v>46298</v>
      </c>
      <c r="C674" s="6" t="s">
        <v>487</v>
      </c>
      <c r="D674" s="6" t="s">
        <v>273</v>
      </c>
      <c r="E674" s="6" t="s">
        <v>275</v>
      </c>
      <c r="F674" s="5"/>
      <c r="G674" s="7">
        <v>-239.9</v>
      </c>
    </row>
    <row r="675" spans="2:7" x14ac:dyDescent="0.25">
      <c r="B675" s="5">
        <v>46298</v>
      </c>
      <c r="C675" s="6" t="s">
        <v>488</v>
      </c>
      <c r="D675" s="6" t="s">
        <v>273</v>
      </c>
      <c r="E675" s="6" t="s">
        <v>275</v>
      </c>
      <c r="F675" s="5"/>
      <c r="G675" s="7">
        <v>-126.4</v>
      </c>
    </row>
    <row r="676" spans="2:7" x14ac:dyDescent="0.25">
      <c r="B676" s="5">
        <v>46298</v>
      </c>
      <c r="C676" s="6" t="s">
        <v>489</v>
      </c>
      <c r="D676" s="6" t="s">
        <v>273</v>
      </c>
      <c r="E676" s="6" t="s">
        <v>275</v>
      </c>
      <c r="F676" s="5"/>
      <c r="G676" s="7">
        <v>-76.099999999999994</v>
      </c>
    </row>
    <row r="677" spans="2:7" x14ac:dyDescent="0.25">
      <c r="B677" s="5">
        <v>46298</v>
      </c>
      <c r="C677" s="6" t="s">
        <v>490</v>
      </c>
      <c r="D677" s="6" t="s">
        <v>273</v>
      </c>
      <c r="E677" s="6" t="s">
        <v>275</v>
      </c>
      <c r="F677" s="5"/>
      <c r="G677" s="7">
        <v>-52.48</v>
      </c>
    </row>
    <row r="678" spans="2:7" x14ac:dyDescent="0.25">
      <c r="B678" s="5">
        <v>46298</v>
      </c>
      <c r="C678" s="6" t="s">
        <v>491</v>
      </c>
      <c r="D678" s="6" t="s">
        <v>273</v>
      </c>
      <c r="E678" s="6" t="s">
        <v>275</v>
      </c>
      <c r="F678" s="5"/>
      <c r="G678" s="7">
        <v>-51.98</v>
      </c>
    </row>
    <row r="679" spans="2:7" x14ac:dyDescent="0.25">
      <c r="B679" s="5">
        <v>46298</v>
      </c>
      <c r="C679" s="6" t="s">
        <v>492</v>
      </c>
      <c r="D679" s="6" t="s">
        <v>273</v>
      </c>
      <c r="E679" s="6" t="s">
        <v>275</v>
      </c>
      <c r="F679" s="5"/>
      <c r="G679" s="7">
        <v>-111.97</v>
      </c>
    </row>
    <row r="680" spans="2:7" x14ac:dyDescent="0.25">
      <c r="B680" s="5">
        <v>46298</v>
      </c>
      <c r="C680" s="6" t="s">
        <v>493</v>
      </c>
      <c r="D680" s="6" t="s">
        <v>273</v>
      </c>
      <c r="E680" s="6" t="s">
        <v>275</v>
      </c>
      <c r="F680" s="5"/>
      <c r="G680" s="7">
        <v>-148.27000000000001</v>
      </c>
    </row>
    <row r="681" spans="2:7" x14ac:dyDescent="0.25">
      <c r="B681" s="5">
        <v>46298</v>
      </c>
      <c r="C681" s="6" t="s">
        <v>494</v>
      </c>
      <c r="D681" s="6" t="s">
        <v>273</v>
      </c>
      <c r="E681" s="6" t="s">
        <v>275</v>
      </c>
      <c r="F681" s="5"/>
      <c r="G681" s="7">
        <v>-119</v>
      </c>
    </row>
    <row r="682" spans="2:7" x14ac:dyDescent="0.25">
      <c r="B682" s="5">
        <v>46298</v>
      </c>
      <c r="C682" s="6" t="s">
        <v>495</v>
      </c>
      <c r="D682" s="6" t="s">
        <v>273</v>
      </c>
      <c r="E682" s="6" t="s">
        <v>275</v>
      </c>
      <c r="F682" s="5"/>
      <c r="G682" s="7">
        <v>-191.66</v>
      </c>
    </row>
    <row r="683" spans="2:7" x14ac:dyDescent="0.25">
      <c r="B683" s="5">
        <v>46298</v>
      </c>
      <c r="C683" s="6" t="s">
        <v>496</v>
      </c>
      <c r="D683" s="6" t="s">
        <v>273</v>
      </c>
      <c r="E683" s="6" t="s">
        <v>275</v>
      </c>
      <c r="F683" s="5"/>
      <c r="G683" s="7">
        <v>-49.99</v>
      </c>
    </row>
    <row r="684" spans="2:7" x14ac:dyDescent="0.25">
      <c r="B684" s="5">
        <v>46298</v>
      </c>
      <c r="C684" s="6" t="s">
        <v>497</v>
      </c>
      <c r="D684" s="6" t="s">
        <v>273</v>
      </c>
      <c r="E684" s="6" t="s">
        <v>275</v>
      </c>
      <c r="F684" s="5"/>
      <c r="G684" s="7">
        <v>-447.8</v>
      </c>
    </row>
    <row r="685" spans="2:7" x14ac:dyDescent="0.25">
      <c r="B685" s="5">
        <v>46298</v>
      </c>
      <c r="C685" s="6" t="s">
        <v>498</v>
      </c>
      <c r="D685" s="6" t="s">
        <v>273</v>
      </c>
      <c r="E685" s="6" t="s">
        <v>275</v>
      </c>
      <c r="F685" s="5"/>
      <c r="G685" s="7">
        <v>-166.56</v>
      </c>
    </row>
    <row r="686" spans="2:7" x14ac:dyDescent="0.25">
      <c r="B686" s="5">
        <v>46298</v>
      </c>
      <c r="C686" s="6" t="s">
        <v>679</v>
      </c>
      <c r="D686" s="6" t="s">
        <v>273</v>
      </c>
      <c r="E686" s="6" t="s">
        <v>275</v>
      </c>
      <c r="F686" s="5"/>
      <c r="G686" s="7">
        <v>-8.6</v>
      </c>
    </row>
    <row r="687" spans="2:7" x14ac:dyDescent="0.25">
      <c r="B687" s="5">
        <v>46299</v>
      </c>
      <c r="C687" s="6" t="s">
        <v>688</v>
      </c>
      <c r="D687" s="6" t="s">
        <v>87</v>
      </c>
      <c r="E687" s="6" t="s">
        <v>100</v>
      </c>
      <c r="F687" s="5"/>
      <c r="G687" s="7">
        <v>-207</v>
      </c>
    </row>
    <row r="688" spans="2:7" x14ac:dyDescent="0.25">
      <c r="B688" s="5">
        <v>46300</v>
      </c>
      <c r="C688" s="6" t="s">
        <v>687</v>
      </c>
      <c r="D688" s="6" t="s">
        <v>87</v>
      </c>
      <c r="E688" s="6" t="s">
        <v>100</v>
      </c>
      <c r="F688" s="5"/>
      <c r="G688" s="7">
        <v>-200</v>
      </c>
    </row>
    <row r="689" spans="2:7" x14ac:dyDescent="0.25">
      <c r="B689" s="5">
        <v>46305</v>
      </c>
      <c r="C689" s="6" t="s">
        <v>684</v>
      </c>
      <c r="D689" s="6" t="s">
        <v>87</v>
      </c>
      <c r="E689" s="6" t="s">
        <v>100</v>
      </c>
      <c r="F689" s="5"/>
      <c r="G689" s="7">
        <v>-1300</v>
      </c>
    </row>
    <row r="690" spans="2:7" x14ac:dyDescent="0.25">
      <c r="B690" s="5">
        <v>46305</v>
      </c>
      <c r="C690" s="6" t="s">
        <v>685</v>
      </c>
      <c r="D690" s="6" t="s">
        <v>87</v>
      </c>
      <c r="E690" s="6" t="s">
        <v>100</v>
      </c>
      <c r="F690" s="5"/>
      <c r="G690" s="7">
        <v>-676.17</v>
      </c>
    </row>
    <row r="691" spans="2:7" x14ac:dyDescent="0.25">
      <c r="B691" s="5">
        <v>46305</v>
      </c>
      <c r="C691" s="6" t="s">
        <v>686</v>
      </c>
      <c r="D691" s="6" t="s">
        <v>87</v>
      </c>
      <c r="E691" s="6" t="s">
        <v>100</v>
      </c>
      <c r="F691" s="5"/>
      <c r="G691" s="7">
        <v>-215.5</v>
      </c>
    </row>
    <row r="692" spans="2:7" x14ac:dyDescent="0.25">
      <c r="B692" s="5">
        <v>46305</v>
      </c>
      <c r="C692" s="6" t="s">
        <v>689</v>
      </c>
      <c r="D692" s="6" t="s">
        <v>87</v>
      </c>
      <c r="E692" s="6" t="s">
        <v>274</v>
      </c>
      <c r="F692" s="5"/>
      <c r="G692" s="7">
        <v>-115.52</v>
      </c>
    </row>
    <row r="693" spans="2:7" x14ac:dyDescent="0.25">
      <c r="B693" s="5">
        <v>46305</v>
      </c>
      <c r="C693" s="6" t="s">
        <v>690</v>
      </c>
      <c r="D693" s="6" t="s">
        <v>87</v>
      </c>
      <c r="E693" s="6" t="s">
        <v>274</v>
      </c>
      <c r="F693" s="5"/>
      <c r="G693" s="7">
        <v>-250</v>
      </c>
    </row>
    <row r="694" spans="2:7" x14ac:dyDescent="0.25">
      <c r="B694" s="5">
        <v>46307</v>
      </c>
      <c r="C694" s="6" t="s">
        <v>134</v>
      </c>
      <c r="D694" s="5" t="s">
        <v>87</v>
      </c>
      <c r="E694" s="6" t="s">
        <v>135</v>
      </c>
      <c r="F694" s="5"/>
      <c r="G694" s="7">
        <v>1993.86</v>
      </c>
    </row>
    <row r="695" spans="2:7" x14ac:dyDescent="0.25">
      <c r="B695" s="5">
        <v>46320</v>
      </c>
      <c r="C695" s="6" t="s">
        <v>183</v>
      </c>
      <c r="D695" s="6" t="s">
        <v>99</v>
      </c>
      <c r="E695" s="6" t="s">
        <v>100</v>
      </c>
      <c r="F695" s="5"/>
      <c r="G695" s="7">
        <v>-1863.6</v>
      </c>
    </row>
    <row r="696" spans="2:7" x14ac:dyDescent="0.25">
      <c r="B696" s="5">
        <v>46329</v>
      </c>
      <c r="C696" s="6" t="s">
        <v>499</v>
      </c>
      <c r="D696" s="6" t="s">
        <v>273</v>
      </c>
      <c r="E696" s="6" t="s">
        <v>275</v>
      </c>
      <c r="F696" s="5"/>
      <c r="G696" s="7">
        <v>-68.400000000000006</v>
      </c>
    </row>
    <row r="697" spans="2:7" x14ac:dyDescent="0.25">
      <c r="B697" s="5">
        <v>46329</v>
      </c>
      <c r="C697" s="6" t="s">
        <v>499</v>
      </c>
      <c r="D697" s="6" t="s">
        <v>273</v>
      </c>
      <c r="E697" s="6" t="s">
        <v>275</v>
      </c>
      <c r="F697" s="5"/>
      <c r="G697" s="7">
        <v>-63.2</v>
      </c>
    </row>
    <row r="698" spans="2:7" x14ac:dyDescent="0.25">
      <c r="B698" s="5">
        <v>46329</v>
      </c>
      <c r="C698" s="6" t="s">
        <v>500</v>
      </c>
      <c r="D698" s="6" t="s">
        <v>273</v>
      </c>
      <c r="E698" s="6" t="s">
        <v>275</v>
      </c>
      <c r="F698" s="5"/>
      <c r="G698" s="7">
        <v>-70.819999999999993</v>
      </c>
    </row>
    <row r="699" spans="2:7" x14ac:dyDescent="0.25">
      <c r="B699" s="5">
        <v>46329</v>
      </c>
      <c r="C699" s="6" t="s">
        <v>501</v>
      </c>
      <c r="D699" s="6" t="s">
        <v>273</v>
      </c>
      <c r="E699" s="6" t="s">
        <v>275</v>
      </c>
      <c r="F699" s="5"/>
      <c r="G699" s="7">
        <v>-41.5</v>
      </c>
    </row>
    <row r="700" spans="2:7" x14ac:dyDescent="0.25">
      <c r="B700" s="5">
        <v>46329</v>
      </c>
      <c r="C700" s="6" t="s">
        <v>502</v>
      </c>
      <c r="D700" s="6" t="s">
        <v>273</v>
      </c>
      <c r="E700" s="6" t="s">
        <v>275</v>
      </c>
      <c r="F700" s="5"/>
      <c r="G700" s="7">
        <v>-83</v>
      </c>
    </row>
    <row r="701" spans="2:7" x14ac:dyDescent="0.25">
      <c r="B701" s="5">
        <v>46329</v>
      </c>
      <c r="C701" s="6" t="s">
        <v>503</v>
      </c>
      <c r="D701" s="6" t="s">
        <v>273</v>
      </c>
      <c r="E701" s="6" t="s">
        <v>275</v>
      </c>
      <c r="F701" s="5"/>
      <c r="G701" s="7">
        <v>-83</v>
      </c>
    </row>
    <row r="702" spans="2:7" x14ac:dyDescent="0.25">
      <c r="B702" s="5">
        <v>46329</v>
      </c>
      <c r="C702" s="6" t="s">
        <v>504</v>
      </c>
      <c r="D702" s="6" t="s">
        <v>273</v>
      </c>
      <c r="E702" s="6" t="s">
        <v>275</v>
      </c>
      <c r="F702" s="5"/>
      <c r="G702" s="7">
        <v>-41.5</v>
      </c>
    </row>
    <row r="703" spans="2:7" x14ac:dyDescent="0.25">
      <c r="B703" s="5">
        <v>46329</v>
      </c>
      <c r="C703" s="6" t="s">
        <v>505</v>
      </c>
      <c r="D703" s="6" t="s">
        <v>273</v>
      </c>
      <c r="E703" s="6" t="s">
        <v>275</v>
      </c>
      <c r="F703" s="5"/>
      <c r="G703" s="7">
        <v>-54.73</v>
      </c>
    </row>
    <row r="704" spans="2:7" x14ac:dyDescent="0.25">
      <c r="B704" s="5">
        <v>46329</v>
      </c>
      <c r="C704" s="6" t="s">
        <v>506</v>
      </c>
      <c r="D704" s="6" t="s">
        <v>273</v>
      </c>
      <c r="E704" s="6" t="s">
        <v>275</v>
      </c>
      <c r="F704" s="5"/>
      <c r="G704" s="7">
        <v>-16.07</v>
      </c>
    </row>
    <row r="705" spans="2:7" x14ac:dyDescent="0.25">
      <c r="B705" s="5">
        <v>46329</v>
      </c>
      <c r="C705" s="6" t="s">
        <v>507</v>
      </c>
      <c r="D705" s="6" t="s">
        <v>273</v>
      </c>
      <c r="E705" s="6" t="s">
        <v>275</v>
      </c>
      <c r="F705" s="5"/>
      <c r="G705" s="7">
        <v>-129.80000000000001</v>
      </c>
    </row>
    <row r="706" spans="2:7" x14ac:dyDescent="0.25">
      <c r="B706" s="5">
        <v>46329</v>
      </c>
      <c r="C706" s="6" t="s">
        <v>508</v>
      </c>
      <c r="D706" s="6" t="s">
        <v>273</v>
      </c>
      <c r="E706" s="6" t="s">
        <v>275</v>
      </c>
      <c r="F706" s="5"/>
      <c r="G706" s="7">
        <v>-65.94</v>
      </c>
    </row>
    <row r="707" spans="2:7" x14ac:dyDescent="0.25">
      <c r="B707" s="5">
        <v>46329</v>
      </c>
      <c r="C707" s="6" t="s">
        <v>509</v>
      </c>
      <c r="D707" s="6" t="s">
        <v>273</v>
      </c>
      <c r="E707" s="6" t="s">
        <v>275</v>
      </c>
      <c r="F707" s="5"/>
      <c r="G707" s="7">
        <v>-239.9</v>
      </c>
    </row>
    <row r="708" spans="2:7" x14ac:dyDescent="0.25">
      <c r="B708" s="5">
        <v>46329</v>
      </c>
      <c r="C708" s="6" t="s">
        <v>510</v>
      </c>
      <c r="D708" s="6" t="s">
        <v>273</v>
      </c>
      <c r="E708" s="6" t="s">
        <v>275</v>
      </c>
      <c r="F708" s="5"/>
      <c r="G708" s="7">
        <v>-126.4</v>
      </c>
    </row>
    <row r="709" spans="2:7" x14ac:dyDescent="0.25">
      <c r="B709" s="5">
        <v>46329</v>
      </c>
      <c r="C709" s="6" t="s">
        <v>511</v>
      </c>
      <c r="D709" s="6" t="s">
        <v>273</v>
      </c>
      <c r="E709" s="6" t="s">
        <v>275</v>
      </c>
      <c r="F709" s="5"/>
      <c r="G709" s="7">
        <v>-76.099999999999994</v>
      </c>
    </row>
    <row r="710" spans="2:7" x14ac:dyDescent="0.25">
      <c r="B710" s="5">
        <v>46329</v>
      </c>
      <c r="C710" s="6" t="s">
        <v>512</v>
      </c>
      <c r="D710" s="6" t="s">
        <v>273</v>
      </c>
      <c r="E710" s="6" t="s">
        <v>275</v>
      </c>
      <c r="F710" s="5"/>
      <c r="G710" s="7">
        <v>-52.48</v>
      </c>
    </row>
    <row r="711" spans="2:7" x14ac:dyDescent="0.25">
      <c r="B711" s="5">
        <v>46329</v>
      </c>
      <c r="C711" s="6" t="s">
        <v>513</v>
      </c>
      <c r="D711" s="6" t="s">
        <v>273</v>
      </c>
      <c r="E711" s="6" t="s">
        <v>275</v>
      </c>
      <c r="F711" s="5"/>
      <c r="G711" s="7">
        <v>-51.98</v>
      </c>
    </row>
    <row r="712" spans="2:7" x14ac:dyDescent="0.25">
      <c r="B712" s="5">
        <v>46329</v>
      </c>
      <c r="C712" s="6" t="s">
        <v>514</v>
      </c>
      <c r="D712" s="6" t="s">
        <v>273</v>
      </c>
      <c r="E712" s="6" t="s">
        <v>275</v>
      </c>
      <c r="F712" s="5"/>
      <c r="G712" s="7">
        <v>-148.27000000000001</v>
      </c>
    </row>
    <row r="713" spans="2:7" x14ac:dyDescent="0.25">
      <c r="B713" s="5">
        <v>46329</v>
      </c>
      <c r="C713" s="6" t="s">
        <v>515</v>
      </c>
      <c r="D713" s="6" t="s">
        <v>273</v>
      </c>
      <c r="E713" s="6" t="s">
        <v>275</v>
      </c>
      <c r="F713" s="5"/>
      <c r="G713" s="7">
        <v>-119</v>
      </c>
    </row>
    <row r="714" spans="2:7" x14ac:dyDescent="0.25">
      <c r="B714" s="5">
        <v>46329</v>
      </c>
      <c r="C714" s="6" t="s">
        <v>516</v>
      </c>
      <c r="D714" s="6" t="s">
        <v>273</v>
      </c>
      <c r="E714" s="6" t="s">
        <v>275</v>
      </c>
      <c r="F714" s="5"/>
      <c r="G714" s="7">
        <v>-191.66</v>
      </c>
    </row>
    <row r="715" spans="2:7" x14ac:dyDescent="0.25">
      <c r="B715" s="5">
        <v>46329</v>
      </c>
      <c r="C715" s="6" t="s">
        <v>517</v>
      </c>
      <c r="D715" s="6" t="s">
        <v>273</v>
      </c>
      <c r="E715" s="6" t="s">
        <v>275</v>
      </c>
      <c r="F715" s="5"/>
      <c r="G715" s="7">
        <v>-49.99</v>
      </c>
    </row>
    <row r="716" spans="2:7" x14ac:dyDescent="0.25">
      <c r="B716" s="5">
        <v>46329</v>
      </c>
      <c r="C716" s="6" t="s">
        <v>518</v>
      </c>
      <c r="D716" s="6" t="s">
        <v>273</v>
      </c>
      <c r="E716" s="6" t="s">
        <v>275</v>
      </c>
      <c r="F716" s="5"/>
      <c r="G716" s="7">
        <v>-447.8</v>
      </c>
    </row>
    <row r="717" spans="2:7" x14ac:dyDescent="0.25">
      <c r="B717" s="5">
        <v>46329</v>
      </c>
      <c r="C717" s="6" t="s">
        <v>680</v>
      </c>
      <c r="D717" s="6" t="s">
        <v>273</v>
      </c>
      <c r="E717" s="6" t="s">
        <v>275</v>
      </c>
      <c r="F717" s="5"/>
      <c r="G717" s="7">
        <v>-8.6</v>
      </c>
    </row>
    <row r="718" spans="2:7" x14ac:dyDescent="0.25">
      <c r="B718" s="5">
        <v>46330</v>
      </c>
      <c r="C718" s="6" t="s">
        <v>688</v>
      </c>
      <c r="D718" s="6" t="s">
        <v>87</v>
      </c>
      <c r="E718" s="6" t="s">
        <v>100</v>
      </c>
      <c r="F718" s="5"/>
      <c r="G718" s="7">
        <v>-207</v>
      </c>
    </row>
    <row r="719" spans="2:7" x14ac:dyDescent="0.25">
      <c r="B719" s="5">
        <v>46331</v>
      </c>
      <c r="C719" s="6" t="s">
        <v>687</v>
      </c>
      <c r="D719" s="6" t="s">
        <v>87</v>
      </c>
      <c r="E719" s="6" t="s">
        <v>100</v>
      </c>
      <c r="F719" s="5"/>
      <c r="G719" s="7">
        <v>-200</v>
      </c>
    </row>
    <row r="720" spans="2:7" x14ac:dyDescent="0.25">
      <c r="B720" s="5">
        <v>46336</v>
      </c>
      <c r="C720" s="6" t="s">
        <v>684</v>
      </c>
      <c r="D720" s="6" t="s">
        <v>87</v>
      </c>
      <c r="E720" s="6" t="s">
        <v>100</v>
      </c>
      <c r="F720" s="5"/>
      <c r="G720" s="7">
        <v>-1300</v>
      </c>
    </row>
    <row r="721" spans="2:7" x14ac:dyDescent="0.25">
      <c r="B721" s="5">
        <v>46336</v>
      </c>
      <c r="C721" s="6" t="s">
        <v>685</v>
      </c>
      <c r="D721" s="6" t="s">
        <v>87</v>
      </c>
      <c r="E721" s="6" t="s">
        <v>100</v>
      </c>
      <c r="F721" s="5"/>
      <c r="G721" s="7">
        <v>-676.17</v>
      </c>
    </row>
    <row r="722" spans="2:7" x14ac:dyDescent="0.25">
      <c r="B722" s="5">
        <v>46336</v>
      </c>
      <c r="C722" s="6" t="s">
        <v>686</v>
      </c>
      <c r="D722" s="6" t="s">
        <v>87</v>
      </c>
      <c r="E722" s="6" t="s">
        <v>100</v>
      </c>
      <c r="F722" s="5"/>
      <c r="G722" s="7">
        <v>-215.5</v>
      </c>
    </row>
    <row r="723" spans="2:7" x14ac:dyDescent="0.25">
      <c r="B723" s="5">
        <v>46336</v>
      </c>
      <c r="C723" s="6" t="s">
        <v>689</v>
      </c>
      <c r="D723" s="6" t="s">
        <v>87</v>
      </c>
      <c r="E723" s="6" t="s">
        <v>274</v>
      </c>
      <c r="F723" s="5"/>
      <c r="G723" s="7">
        <v>-115.52</v>
      </c>
    </row>
    <row r="724" spans="2:7" x14ac:dyDescent="0.25">
      <c r="B724" s="5">
        <v>46336</v>
      </c>
      <c r="C724" s="6" t="s">
        <v>690</v>
      </c>
      <c r="D724" s="6" t="s">
        <v>87</v>
      </c>
      <c r="E724" s="6" t="s">
        <v>274</v>
      </c>
      <c r="F724" s="5"/>
      <c r="G724" s="7">
        <v>-250</v>
      </c>
    </row>
    <row r="725" spans="2:7" x14ac:dyDescent="0.25">
      <c r="B725" s="5">
        <v>46338</v>
      </c>
      <c r="C725" s="6" t="s">
        <v>134</v>
      </c>
      <c r="D725" s="5" t="s">
        <v>87</v>
      </c>
      <c r="E725" s="6" t="s">
        <v>135</v>
      </c>
      <c r="F725" s="5"/>
      <c r="G725" s="7">
        <v>1993.86</v>
      </c>
    </row>
    <row r="726" spans="2:7" x14ac:dyDescent="0.25">
      <c r="B726" s="5">
        <v>46351</v>
      </c>
      <c r="C726" s="6" t="s">
        <v>184</v>
      </c>
      <c r="D726" s="6" t="s">
        <v>99</v>
      </c>
      <c r="E726" s="6" t="s">
        <v>100</v>
      </c>
      <c r="F726" s="5"/>
      <c r="G726" s="7">
        <v>-1863.6</v>
      </c>
    </row>
    <row r="727" spans="2:7" x14ac:dyDescent="0.25">
      <c r="B727" s="5">
        <v>46359</v>
      </c>
      <c r="C727" s="6" t="s">
        <v>519</v>
      </c>
      <c r="D727" s="6" t="s">
        <v>273</v>
      </c>
      <c r="E727" s="6" t="s">
        <v>275</v>
      </c>
      <c r="F727" s="5"/>
      <c r="G727" s="7">
        <v>-68.400000000000006</v>
      </c>
    </row>
    <row r="728" spans="2:7" x14ac:dyDescent="0.25">
      <c r="B728" s="5">
        <v>46359</v>
      </c>
      <c r="C728" s="6" t="s">
        <v>519</v>
      </c>
      <c r="D728" s="6" t="s">
        <v>273</v>
      </c>
      <c r="E728" s="6" t="s">
        <v>275</v>
      </c>
      <c r="F728" s="5"/>
      <c r="G728" s="7">
        <v>-63.2</v>
      </c>
    </row>
    <row r="729" spans="2:7" x14ac:dyDescent="0.25">
      <c r="B729" s="5">
        <v>46359</v>
      </c>
      <c r="C729" s="6" t="s">
        <v>520</v>
      </c>
      <c r="D729" s="6" t="s">
        <v>273</v>
      </c>
      <c r="E729" s="6" t="s">
        <v>275</v>
      </c>
      <c r="F729" s="5"/>
      <c r="G729" s="7">
        <v>-70.819999999999993</v>
      </c>
    </row>
    <row r="730" spans="2:7" x14ac:dyDescent="0.25">
      <c r="B730" s="5">
        <v>46359</v>
      </c>
      <c r="C730" s="6" t="s">
        <v>521</v>
      </c>
      <c r="D730" s="6" t="s">
        <v>273</v>
      </c>
      <c r="E730" s="6" t="s">
        <v>275</v>
      </c>
      <c r="F730" s="5"/>
      <c r="G730" s="7">
        <v>-41.5</v>
      </c>
    </row>
    <row r="731" spans="2:7" x14ac:dyDescent="0.25">
      <c r="B731" s="5">
        <v>46359</v>
      </c>
      <c r="C731" s="6" t="s">
        <v>522</v>
      </c>
      <c r="D731" s="6" t="s">
        <v>273</v>
      </c>
      <c r="E731" s="6" t="s">
        <v>275</v>
      </c>
      <c r="F731" s="5"/>
      <c r="G731" s="7">
        <v>-83</v>
      </c>
    </row>
    <row r="732" spans="2:7" x14ac:dyDescent="0.25">
      <c r="B732" s="5">
        <v>46359</v>
      </c>
      <c r="C732" s="6" t="s">
        <v>523</v>
      </c>
      <c r="D732" s="6" t="s">
        <v>273</v>
      </c>
      <c r="E732" s="6" t="s">
        <v>275</v>
      </c>
      <c r="F732" s="5"/>
      <c r="G732" s="7">
        <v>-83</v>
      </c>
    </row>
    <row r="733" spans="2:7" x14ac:dyDescent="0.25">
      <c r="B733" s="5">
        <v>46359</v>
      </c>
      <c r="C733" s="6" t="s">
        <v>524</v>
      </c>
      <c r="D733" s="6" t="s">
        <v>273</v>
      </c>
      <c r="E733" s="6" t="s">
        <v>275</v>
      </c>
      <c r="F733" s="5"/>
      <c r="G733" s="7">
        <v>-41.5</v>
      </c>
    </row>
    <row r="734" spans="2:7" x14ac:dyDescent="0.25">
      <c r="B734" s="5">
        <v>46359</v>
      </c>
      <c r="C734" s="6" t="s">
        <v>525</v>
      </c>
      <c r="D734" s="6" t="s">
        <v>273</v>
      </c>
      <c r="E734" s="6" t="s">
        <v>275</v>
      </c>
      <c r="F734" s="5"/>
      <c r="G734" s="7">
        <v>-54.73</v>
      </c>
    </row>
    <row r="735" spans="2:7" x14ac:dyDescent="0.25">
      <c r="B735" s="5">
        <v>46359</v>
      </c>
      <c r="C735" s="6" t="s">
        <v>526</v>
      </c>
      <c r="D735" s="6" t="s">
        <v>273</v>
      </c>
      <c r="E735" s="6" t="s">
        <v>275</v>
      </c>
      <c r="F735" s="5"/>
      <c r="G735" s="7">
        <v>-16.07</v>
      </c>
    </row>
    <row r="736" spans="2:7" x14ac:dyDescent="0.25">
      <c r="B736" s="5">
        <v>46359</v>
      </c>
      <c r="C736" s="6" t="s">
        <v>527</v>
      </c>
      <c r="D736" s="6" t="s">
        <v>273</v>
      </c>
      <c r="E736" s="6" t="s">
        <v>275</v>
      </c>
      <c r="F736" s="5"/>
      <c r="G736" s="7">
        <v>-129.80000000000001</v>
      </c>
    </row>
    <row r="737" spans="2:7" x14ac:dyDescent="0.25">
      <c r="B737" s="5">
        <v>46359</v>
      </c>
      <c r="C737" s="6" t="s">
        <v>528</v>
      </c>
      <c r="D737" s="6" t="s">
        <v>273</v>
      </c>
      <c r="E737" s="6" t="s">
        <v>275</v>
      </c>
      <c r="F737" s="5"/>
      <c r="G737" s="7">
        <v>-65.94</v>
      </c>
    </row>
    <row r="738" spans="2:7" x14ac:dyDescent="0.25">
      <c r="B738" s="5">
        <v>46359</v>
      </c>
      <c r="C738" s="6" t="s">
        <v>529</v>
      </c>
      <c r="D738" s="6" t="s">
        <v>273</v>
      </c>
      <c r="E738" s="6" t="s">
        <v>275</v>
      </c>
      <c r="F738" s="5"/>
      <c r="G738" s="7">
        <v>-239.9</v>
      </c>
    </row>
    <row r="739" spans="2:7" x14ac:dyDescent="0.25">
      <c r="B739" s="5">
        <v>46359</v>
      </c>
      <c r="C739" s="6" t="s">
        <v>530</v>
      </c>
      <c r="D739" s="6" t="s">
        <v>273</v>
      </c>
      <c r="E739" s="6" t="s">
        <v>275</v>
      </c>
      <c r="F739" s="5"/>
      <c r="G739" s="7">
        <v>-126.4</v>
      </c>
    </row>
    <row r="740" spans="2:7" x14ac:dyDescent="0.25">
      <c r="B740" s="5">
        <v>46359</v>
      </c>
      <c r="C740" s="6" t="s">
        <v>531</v>
      </c>
      <c r="D740" s="6" t="s">
        <v>273</v>
      </c>
      <c r="E740" s="6" t="s">
        <v>275</v>
      </c>
      <c r="F740" s="5"/>
      <c r="G740" s="7">
        <v>-76.099999999999994</v>
      </c>
    </row>
    <row r="741" spans="2:7" x14ac:dyDescent="0.25">
      <c r="B741" s="5">
        <v>46359</v>
      </c>
      <c r="C741" s="6" t="s">
        <v>532</v>
      </c>
      <c r="D741" s="6" t="s">
        <v>273</v>
      </c>
      <c r="E741" s="6" t="s">
        <v>275</v>
      </c>
      <c r="F741" s="5"/>
      <c r="G741" s="7">
        <v>-52.48</v>
      </c>
    </row>
    <row r="742" spans="2:7" x14ac:dyDescent="0.25">
      <c r="B742" s="5">
        <v>46359</v>
      </c>
      <c r="C742" s="6" t="s">
        <v>533</v>
      </c>
      <c r="D742" s="6" t="s">
        <v>273</v>
      </c>
      <c r="E742" s="6" t="s">
        <v>275</v>
      </c>
      <c r="F742" s="5"/>
      <c r="G742" s="7">
        <v>-51.98</v>
      </c>
    </row>
    <row r="743" spans="2:7" x14ac:dyDescent="0.25">
      <c r="B743" s="5">
        <v>46359</v>
      </c>
      <c r="C743" s="6" t="s">
        <v>534</v>
      </c>
      <c r="D743" s="6" t="s">
        <v>273</v>
      </c>
      <c r="E743" s="6" t="s">
        <v>275</v>
      </c>
      <c r="F743" s="5"/>
      <c r="G743" s="7">
        <v>-148.27000000000001</v>
      </c>
    </row>
    <row r="744" spans="2:7" x14ac:dyDescent="0.25">
      <c r="B744" s="5">
        <v>46359</v>
      </c>
      <c r="C744" s="6" t="s">
        <v>535</v>
      </c>
      <c r="D744" s="6" t="s">
        <v>273</v>
      </c>
      <c r="E744" s="6" t="s">
        <v>275</v>
      </c>
      <c r="F744" s="5"/>
      <c r="G744" s="7">
        <v>-119</v>
      </c>
    </row>
    <row r="745" spans="2:7" x14ac:dyDescent="0.25">
      <c r="B745" s="5">
        <v>46359</v>
      </c>
      <c r="C745" s="6" t="s">
        <v>536</v>
      </c>
      <c r="D745" s="6" t="s">
        <v>273</v>
      </c>
      <c r="E745" s="6" t="s">
        <v>275</v>
      </c>
      <c r="F745" s="5"/>
      <c r="G745" s="7">
        <v>-49.99</v>
      </c>
    </row>
    <row r="746" spans="2:7" x14ac:dyDescent="0.25">
      <c r="B746" s="5">
        <v>46359</v>
      </c>
      <c r="C746" s="6" t="s">
        <v>537</v>
      </c>
      <c r="D746" s="6" t="s">
        <v>273</v>
      </c>
      <c r="E746" s="6" t="s">
        <v>275</v>
      </c>
      <c r="F746" s="5"/>
      <c r="G746" s="7">
        <v>-447.8</v>
      </c>
    </row>
    <row r="747" spans="2:7" x14ac:dyDescent="0.25">
      <c r="B747" s="5">
        <v>46359</v>
      </c>
      <c r="C747" s="6" t="s">
        <v>681</v>
      </c>
      <c r="D747" s="6" t="s">
        <v>273</v>
      </c>
      <c r="E747" s="6" t="s">
        <v>275</v>
      </c>
      <c r="F747" s="5"/>
      <c r="G747" s="7">
        <v>-8.6</v>
      </c>
    </row>
    <row r="748" spans="2:7" x14ac:dyDescent="0.25">
      <c r="B748" s="5">
        <v>46360</v>
      </c>
      <c r="C748" s="6" t="s">
        <v>688</v>
      </c>
      <c r="D748" s="6" t="s">
        <v>87</v>
      </c>
      <c r="E748" s="6" t="s">
        <v>100</v>
      </c>
      <c r="F748" s="5"/>
      <c r="G748" s="7">
        <v>-207</v>
      </c>
    </row>
    <row r="749" spans="2:7" x14ac:dyDescent="0.25">
      <c r="B749" s="5">
        <v>46361</v>
      </c>
      <c r="C749" s="6" t="s">
        <v>687</v>
      </c>
      <c r="D749" s="6" t="s">
        <v>87</v>
      </c>
      <c r="E749" s="6" t="s">
        <v>100</v>
      </c>
      <c r="F749" s="5"/>
      <c r="G749" s="7">
        <v>-200</v>
      </c>
    </row>
    <row r="750" spans="2:7" x14ac:dyDescent="0.25">
      <c r="B750" s="5">
        <v>46366</v>
      </c>
      <c r="C750" s="6" t="s">
        <v>684</v>
      </c>
      <c r="D750" s="6" t="s">
        <v>87</v>
      </c>
      <c r="E750" s="6" t="s">
        <v>100</v>
      </c>
      <c r="F750" s="5"/>
      <c r="G750" s="7">
        <v>-1300</v>
      </c>
    </row>
    <row r="751" spans="2:7" x14ac:dyDescent="0.25">
      <c r="B751" s="5">
        <v>46366</v>
      </c>
      <c r="C751" s="6" t="s">
        <v>685</v>
      </c>
      <c r="D751" s="6" t="s">
        <v>87</v>
      </c>
      <c r="E751" s="6" t="s">
        <v>100</v>
      </c>
      <c r="F751" s="5"/>
      <c r="G751" s="7">
        <v>-676.17</v>
      </c>
    </row>
    <row r="752" spans="2:7" x14ac:dyDescent="0.25">
      <c r="B752" s="5">
        <v>46366</v>
      </c>
      <c r="C752" s="6" t="s">
        <v>686</v>
      </c>
      <c r="D752" s="6" t="s">
        <v>87</v>
      </c>
      <c r="E752" s="6" t="s">
        <v>100</v>
      </c>
      <c r="F752" s="5"/>
      <c r="G752" s="7">
        <v>-215.5</v>
      </c>
    </row>
    <row r="753" spans="2:7" x14ac:dyDescent="0.25">
      <c r="B753" s="5">
        <v>46366</v>
      </c>
      <c r="C753" s="6" t="s">
        <v>689</v>
      </c>
      <c r="D753" s="6" t="s">
        <v>87</v>
      </c>
      <c r="E753" s="6" t="s">
        <v>274</v>
      </c>
      <c r="F753" s="5"/>
      <c r="G753" s="7">
        <v>-115.52</v>
      </c>
    </row>
    <row r="754" spans="2:7" x14ac:dyDescent="0.25">
      <c r="B754" s="5">
        <v>46366</v>
      </c>
      <c r="C754" s="6" t="s">
        <v>690</v>
      </c>
      <c r="D754" s="6" t="s">
        <v>87</v>
      </c>
      <c r="E754" s="6" t="s">
        <v>274</v>
      </c>
      <c r="F754" s="5"/>
      <c r="G754" s="7">
        <v>-250</v>
      </c>
    </row>
    <row r="755" spans="2:7" x14ac:dyDescent="0.25">
      <c r="B755" s="5">
        <v>46368</v>
      </c>
      <c r="C755" s="6" t="s">
        <v>134</v>
      </c>
      <c r="D755" s="5" t="s">
        <v>87</v>
      </c>
      <c r="E755" s="6" t="s">
        <v>135</v>
      </c>
      <c r="F755" s="5"/>
      <c r="G755" s="7">
        <v>1993.86</v>
      </c>
    </row>
    <row r="756" spans="2:7" x14ac:dyDescent="0.25">
      <c r="B756" s="5">
        <v>46376</v>
      </c>
      <c r="C756" s="6" t="s">
        <v>690</v>
      </c>
      <c r="D756" s="6" t="s">
        <v>87</v>
      </c>
      <c r="E756" s="6" t="s">
        <v>274</v>
      </c>
      <c r="F756" s="5"/>
      <c r="G756" s="7">
        <v>3900</v>
      </c>
    </row>
    <row r="757" spans="2:7" x14ac:dyDescent="0.25">
      <c r="B757" s="5">
        <v>46381</v>
      </c>
      <c r="C757" s="6" t="s">
        <v>185</v>
      </c>
      <c r="D757" s="6" t="s">
        <v>99</v>
      </c>
      <c r="E757" s="6" t="s">
        <v>100</v>
      </c>
      <c r="F757" s="5"/>
      <c r="G757" s="7">
        <v>-1863.6</v>
      </c>
    </row>
    <row r="758" spans="2:7" x14ac:dyDescent="0.25">
      <c r="B758" s="5">
        <v>46390</v>
      </c>
      <c r="C758" s="6" t="s">
        <v>278</v>
      </c>
      <c r="D758" s="6" t="s">
        <v>273</v>
      </c>
      <c r="E758" s="6" t="s">
        <v>275</v>
      </c>
      <c r="F758" s="5"/>
      <c r="G758" s="7">
        <v>-70.819999999999993</v>
      </c>
    </row>
    <row r="759" spans="2:7" x14ac:dyDescent="0.25">
      <c r="B759" s="5">
        <v>46390</v>
      </c>
      <c r="C759" s="6" t="s">
        <v>279</v>
      </c>
      <c r="D759" s="6" t="s">
        <v>273</v>
      </c>
      <c r="E759" s="6" t="s">
        <v>275</v>
      </c>
      <c r="F759" s="5"/>
      <c r="G759" s="7">
        <v>-41.5</v>
      </c>
    </row>
    <row r="760" spans="2:7" x14ac:dyDescent="0.25">
      <c r="B760" s="5">
        <v>46390</v>
      </c>
      <c r="C760" s="6" t="s">
        <v>280</v>
      </c>
      <c r="D760" s="6" t="s">
        <v>273</v>
      </c>
      <c r="E760" s="6" t="s">
        <v>275</v>
      </c>
      <c r="F760" s="5"/>
      <c r="G760" s="7">
        <v>-83</v>
      </c>
    </row>
    <row r="761" spans="2:7" x14ac:dyDescent="0.25">
      <c r="B761" s="5">
        <v>46390</v>
      </c>
      <c r="C761" s="6" t="s">
        <v>281</v>
      </c>
      <c r="D761" s="6" t="s">
        <v>273</v>
      </c>
      <c r="E761" s="6" t="s">
        <v>275</v>
      </c>
      <c r="F761" s="5"/>
      <c r="G761" s="7">
        <v>-83</v>
      </c>
    </row>
    <row r="762" spans="2:7" x14ac:dyDescent="0.25">
      <c r="B762" s="5">
        <v>46390</v>
      </c>
      <c r="C762" s="6" t="s">
        <v>282</v>
      </c>
      <c r="D762" s="6" t="s">
        <v>273</v>
      </c>
      <c r="E762" s="6" t="s">
        <v>275</v>
      </c>
      <c r="F762" s="5"/>
      <c r="G762" s="7">
        <v>-41.5</v>
      </c>
    </row>
    <row r="763" spans="2:7" x14ac:dyDescent="0.25">
      <c r="B763" s="5">
        <v>46390</v>
      </c>
      <c r="C763" s="6" t="s">
        <v>283</v>
      </c>
      <c r="D763" s="6" t="s">
        <v>273</v>
      </c>
      <c r="E763" s="6" t="s">
        <v>275</v>
      </c>
      <c r="F763" s="5"/>
      <c r="G763" s="7">
        <v>-16.07</v>
      </c>
    </row>
    <row r="764" spans="2:7" x14ac:dyDescent="0.25">
      <c r="B764" s="5">
        <v>46390</v>
      </c>
      <c r="C764" s="6" t="s">
        <v>284</v>
      </c>
      <c r="D764" s="6" t="s">
        <v>273</v>
      </c>
      <c r="E764" s="6" t="s">
        <v>275</v>
      </c>
      <c r="F764" s="5"/>
      <c r="G764" s="7">
        <v>-129.80000000000001</v>
      </c>
    </row>
    <row r="765" spans="2:7" x14ac:dyDescent="0.25">
      <c r="B765" s="5">
        <v>46390</v>
      </c>
      <c r="C765" s="6" t="s">
        <v>285</v>
      </c>
      <c r="D765" s="6" t="s">
        <v>273</v>
      </c>
      <c r="E765" s="6" t="s">
        <v>275</v>
      </c>
      <c r="F765" s="5"/>
      <c r="G765" s="7">
        <v>-52.48</v>
      </c>
    </row>
    <row r="766" spans="2:7" x14ac:dyDescent="0.25">
      <c r="B766" s="5">
        <v>46390</v>
      </c>
      <c r="C766" s="6" t="s">
        <v>286</v>
      </c>
      <c r="D766" s="6" t="s">
        <v>273</v>
      </c>
      <c r="E766" s="6" t="s">
        <v>275</v>
      </c>
      <c r="F766" s="5"/>
      <c r="G766" s="7">
        <v>-148.27000000000001</v>
      </c>
    </row>
    <row r="767" spans="2:7" x14ac:dyDescent="0.25">
      <c r="B767" s="5">
        <v>46390</v>
      </c>
      <c r="C767" s="6" t="s">
        <v>287</v>
      </c>
      <c r="D767" s="6" t="s">
        <v>273</v>
      </c>
      <c r="E767" s="6" t="s">
        <v>275</v>
      </c>
      <c r="F767" s="5"/>
      <c r="G767" s="7">
        <v>-49.99</v>
      </c>
    </row>
    <row r="768" spans="2:7" x14ac:dyDescent="0.25">
      <c r="B768" s="5">
        <v>46390</v>
      </c>
      <c r="C768" s="6" t="s">
        <v>682</v>
      </c>
      <c r="D768" s="6" t="s">
        <v>273</v>
      </c>
      <c r="E768" s="6" t="s">
        <v>275</v>
      </c>
      <c r="F768" s="5"/>
      <c r="G768" s="7">
        <v>-8.6</v>
      </c>
    </row>
    <row r="769" spans="2:7" x14ac:dyDescent="0.25">
      <c r="B769" s="5">
        <v>46399</v>
      </c>
      <c r="C769" s="6" t="s">
        <v>134</v>
      </c>
      <c r="D769" s="5" t="s">
        <v>87</v>
      </c>
      <c r="E769" s="6" t="s">
        <v>135</v>
      </c>
      <c r="F769" s="5"/>
      <c r="G769" s="7">
        <v>1993.86</v>
      </c>
    </row>
    <row r="770" spans="2:7" x14ac:dyDescent="0.25">
      <c r="B770" s="5">
        <v>46412</v>
      </c>
      <c r="C770" s="6" t="s">
        <v>186</v>
      </c>
      <c r="D770" s="6" t="s">
        <v>99</v>
      </c>
      <c r="E770" s="6" t="s">
        <v>100</v>
      </c>
      <c r="F770" s="5"/>
      <c r="G770" s="7">
        <v>-1863.6</v>
      </c>
    </row>
    <row r="771" spans="2:7" x14ac:dyDescent="0.25">
      <c r="B771" s="5">
        <v>46421</v>
      </c>
      <c r="C771" s="6" t="s">
        <v>288</v>
      </c>
      <c r="D771" s="6" t="s">
        <v>273</v>
      </c>
      <c r="E771" s="6" t="s">
        <v>275</v>
      </c>
      <c r="F771" s="5"/>
      <c r="G771" s="7">
        <v>-70.819999999999993</v>
      </c>
    </row>
    <row r="772" spans="2:7" x14ac:dyDescent="0.25">
      <c r="B772" s="5">
        <v>46421</v>
      </c>
      <c r="C772" s="6" t="s">
        <v>289</v>
      </c>
      <c r="D772" s="6" t="s">
        <v>273</v>
      </c>
      <c r="E772" s="6" t="s">
        <v>275</v>
      </c>
      <c r="F772" s="5"/>
      <c r="G772" s="7">
        <v>-41.5</v>
      </c>
    </row>
    <row r="773" spans="2:7" x14ac:dyDescent="0.25">
      <c r="B773" s="5">
        <v>46421</v>
      </c>
      <c r="C773" s="6" t="s">
        <v>290</v>
      </c>
      <c r="D773" s="6" t="s">
        <v>273</v>
      </c>
      <c r="E773" s="6" t="s">
        <v>275</v>
      </c>
      <c r="F773" s="5"/>
      <c r="G773" s="7">
        <v>-83</v>
      </c>
    </row>
    <row r="774" spans="2:7" x14ac:dyDescent="0.25">
      <c r="B774" s="5">
        <v>46421</v>
      </c>
      <c r="C774" s="6" t="s">
        <v>291</v>
      </c>
      <c r="D774" s="6" t="s">
        <v>273</v>
      </c>
      <c r="E774" s="6" t="s">
        <v>275</v>
      </c>
      <c r="F774" s="5"/>
      <c r="G774" s="7">
        <v>-83</v>
      </c>
    </row>
    <row r="775" spans="2:7" x14ac:dyDescent="0.25">
      <c r="B775" s="5">
        <v>46421</v>
      </c>
      <c r="C775" s="6" t="s">
        <v>292</v>
      </c>
      <c r="D775" s="6" t="s">
        <v>273</v>
      </c>
      <c r="E775" s="6" t="s">
        <v>275</v>
      </c>
      <c r="F775" s="5"/>
      <c r="G775" s="7">
        <v>-41.5</v>
      </c>
    </row>
    <row r="776" spans="2:7" x14ac:dyDescent="0.25">
      <c r="B776" s="5">
        <v>46421</v>
      </c>
      <c r="C776" s="6" t="s">
        <v>293</v>
      </c>
      <c r="D776" s="6" t="s">
        <v>273</v>
      </c>
      <c r="E776" s="6" t="s">
        <v>275</v>
      </c>
      <c r="F776" s="5"/>
      <c r="G776" s="7">
        <v>-16.07</v>
      </c>
    </row>
    <row r="777" spans="2:7" x14ac:dyDescent="0.25">
      <c r="B777" s="5">
        <v>46421</v>
      </c>
      <c r="C777" s="6" t="s">
        <v>294</v>
      </c>
      <c r="D777" s="6" t="s">
        <v>273</v>
      </c>
      <c r="E777" s="6" t="s">
        <v>275</v>
      </c>
      <c r="F777" s="5"/>
      <c r="G777" s="7">
        <v>-129.80000000000001</v>
      </c>
    </row>
    <row r="778" spans="2:7" x14ac:dyDescent="0.25">
      <c r="B778" s="5">
        <v>46421</v>
      </c>
      <c r="C778" s="6" t="s">
        <v>295</v>
      </c>
      <c r="D778" s="6" t="s">
        <v>273</v>
      </c>
      <c r="E778" s="6" t="s">
        <v>275</v>
      </c>
      <c r="F778" s="5"/>
      <c r="G778" s="7">
        <v>-148.27000000000001</v>
      </c>
    </row>
    <row r="779" spans="2:7" x14ac:dyDescent="0.25">
      <c r="B779" s="5">
        <v>46421</v>
      </c>
      <c r="C779" s="6" t="s">
        <v>683</v>
      </c>
      <c r="D779" s="6" t="s">
        <v>273</v>
      </c>
      <c r="E779" s="6" t="s">
        <v>275</v>
      </c>
      <c r="F779" s="5"/>
      <c r="G779" s="7">
        <v>-8.6</v>
      </c>
    </row>
    <row r="780" spans="2:7" x14ac:dyDescent="0.25">
      <c r="B780" s="5">
        <v>46430</v>
      </c>
      <c r="C780" s="6" t="s">
        <v>134</v>
      </c>
      <c r="D780" s="5" t="s">
        <v>87</v>
      </c>
      <c r="E780" s="6" t="s">
        <v>135</v>
      </c>
      <c r="F780" s="5"/>
      <c r="G780" s="7">
        <v>1993.86</v>
      </c>
    </row>
    <row r="781" spans="2:7" x14ac:dyDescent="0.25">
      <c r="B781" s="5">
        <v>46443</v>
      </c>
      <c r="C781" s="6" t="s">
        <v>187</v>
      </c>
      <c r="D781" s="6" t="s">
        <v>99</v>
      </c>
      <c r="E781" s="6" t="s">
        <v>100</v>
      </c>
      <c r="F781" s="5"/>
      <c r="G781" s="7">
        <v>-1863.6</v>
      </c>
    </row>
    <row r="782" spans="2:7" x14ac:dyDescent="0.25">
      <c r="B782" s="5">
        <v>46449</v>
      </c>
      <c r="C782" s="6" t="s">
        <v>296</v>
      </c>
      <c r="D782" s="6" t="s">
        <v>273</v>
      </c>
      <c r="E782" s="6" t="s">
        <v>275</v>
      </c>
      <c r="F782" s="5"/>
      <c r="G782" s="7">
        <v>-83</v>
      </c>
    </row>
    <row r="783" spans="2:7" x14ac:dyDescent="0.25">
      <c r="B783" s="5">
        <v>46449</v>
      </c>
      <c r="C783" s="6" t="s">
        <v>297</v>
      </c>
      <c r="D783" s="6" t="s">
        <v>273</v>
      </c>
      <c r="E783" s="6" t="s">
        <v>275</v>
      </c>
      <c r="F783" s="5"/>
      <c r="G783" s="7">
        <v>-83</v>
      </c>
    </row>
    <row r="784" spans="2:7" x14ac:dyDescent="0.25">
      <c r="B784" s="5">
        <v>46449</v>
      </c>
      <c r="C784" s="6" t="s">
        <v>298</v>
      </c>
      <c r="D784" s="6" t="s">
        <v>273</v>
      </c>
      <c r="E784" s="6" t="s">
        <v>275</v>
      </c>
      <c r="F784" s="5"/>
      <c r="G784" s="7">
        <v>-16.07</v>
      </c>
    </row>
    <row r="785" spans="2:7" x14ac:dyDescent="0.25">
      <c r="B785" s="5">
        <v>46449</v>
      </c>
      <c r="C785" s="6" t="s">
        <v>299</v>
      </c>
      <c r="D785" s="6" t="s">
        <v>273</v>
      </c>
      <c r="E785" s="6" t="s">
        <v>275</v>
      </c>
      <c r="F785" s="5"/>
      <c r="G785" s="7">
        <v>-129.80000000000001</v>
      </c>
    </row>
    <row r="786" spans="2:7" x14ac:dyDescent="0.25">
      <c r="B786" s="5">
        <v>46449</v>
      </c>
      <c r="C786" s="6" t="s">
        <v>300</v>
      </c>
      <c r="D786" s="6" t="s">
        <v>273</v>
      </c>
      <c r="E786" s="6" t="s">
        <v>275</v>
      </c>
      <c r="F786" s="5"/>
      <c r="G786" s="7">
        <v>-148.27000000000001</v>
      </c>
    </row>
    <row r="787" spans="2:7" x14ac:dyDescent="0.25">
      <c r="B787" s="5">
        <v>46458</v>
      </c>
      <c r="C787" s="6" t="s">
        <v>134</v>
      </c>
      <c r="D787" s="5" t="s">
        <v>87</v>
      </c>
      <c r="E787" s="6" t="s">
        <v>135</v>
      </c>
      <c r="F787" s="5"/>
      <c r="G787" s="7">
        <v>1993.86</v>
      </c>
    </row>
    <row r="788" spans="2:7" x14ac:dyDescent="0.25">
      <c r="B788" s="5">
        <v>46471</v>
      </c>
      <c r="C788" s="6" t="s">
        <v>188</v>
      </c>
      <c r="D788" s="6" t="s">
        <v>99</v>
      </c>
      <c r="E788" s="6" t="s">
        <v>100</v>
      </c>
      <c r="F788" s="5"/>
      <c r="G788" s="7">
        <v>-1863.6</v>
      </c>
    </row>
    <row r="789" spans="2:7" x14ac:dyDescent="0.25">
      <c r="B789" s="5">
        <v>46480</v>
      </c>
      <c r="C789" s="6" t="s">
        <v>302</v>
      </c>
      <c r="D789" s="6" t="s">
        <v>273</v>
      </c>
      <c r="E789" s="6" t="s">
        <v>275</v>
      </c>
      <c r="F789" s="5"/>
      <c r="G789" s="7">
        <v>-148.27000000000001</v>
      </c>
    </row>
    <row r="790" spans="2:7" x14ac:dyDescent="0.25">
      <c r="B790" s="5">
        <v>46489</v>
      </c>
      <c r="C790" s="6" t="s">
        <v>134</v>
      </c>
      <c r="D790" s="5" t="s">
        <v>87</v>
      </c>
      <c r="E790" s="6" t="s">
        <v>135</v>
      </c>
      <c r="F790" s="5"/>
      <c r="G790" s="7">
        <v>1993.86</v>
      </c>
    </row>
    <row r="791" spans="2:7" x14ac:dyDescent="0.25">
      <c r="B791" s="5">
        <v>46502</v>
      </c>
      <c r="C791" s="6" t="s">
        <v>189</v>
      </c>
      <c r="D791" s="6" t="s">
        <v>99</v>
      </c>
      <c r="E791" s="6" t="s">
        <v>100</v>
      </c>
      <c r="F791" s="5"/>
      <c r="G791" s="7">
        <v>-1863.6</v>
      </c>
    </row>
    <row r="792" spans="2:7" x14ac:dyDescent="0.25">
      <c r="B792" s="5">
        <v>46519</v>
      </c>
      <c r="C792" s="6" t="s">
        <v>134</v>
      </c>
      <c r="D792" s="5" t="s">
        <v>87</v>
      </c>
      <c r="E792" s="6" t="s">
        <v>135</v>
      </c>
      <c r="F792" s="5"/>
      <c r="G792" s="7">
        <v>1993.86</v>
      </c>
    </row>
    <row r="793" spans="2:7" x14ac:dyDescent="0.25">
      <c r="B793" s="5">
        <v>46532</v>
      </c>
      <c r="C793" s="6" t="s">
        <v>190</v>
      </c>
      <c r="D793" s="6" t="s">
        <v>99</v>
      </c>
      <c r="E793" s="6" t="s">
        <v>100</v>
      </c>
      <c r="F793" s="5"/>
      <c r="G793" s="7">
        <v>-1863.6</v>
      </c>
    </row>
    <row r="794" spans="2:7" x14ac:dyDescent="0.25">
      <c r="B794" s="5">
        <v>46550</v>
      </c>
      <c r="C794" s="6" t="s">
        <v>134</v>
      </c>
      <c r="D794" s="5" t="s">
        <v>87</v>
      </c>
      <c r="E794" s="6" t="s">
        <v>135</v>
      </c>
      <c r="F794" s="5"/>
      <c r="G794" s="7">
        <v>1993.86</v>
      </c>
    </row>
    <row r="795" spans="2:7" x14ac:dyDescent="0.25">
      <c r="B795" s="5">
        <v>46563</v>
      </c>
      <c r="C795" s="6" t="s">
        <v>191</v>
      </c>
      <c r="D795" s="6" t="s">
        <v>99</v>
      </c>
      <c r="E795" s="6" t="s">
        <v>100</v>
      </c>
      <c r="F795" s="5"/>
      <c r="G795" s="7">
        <v>-1863.6</v>
      </c>
    </row>
    <row r="796" spans="2:7" x14ac:dyDescent="0.25">
      <c r="B796" s="5">
        <v>46580</v>
      </c>
      <c r="C796" s="6" t="s">
        <v>134</v>
      </c>
      <c r="D796" s="5" t="s">
        <v>87</v>
      </c>
      <c r="E796" s="6" t="s">
        <v>135</v>
      </c>
      <c r="F796" s="5"/>
      <c r="G796" s="7">
        <v>1993.86</v>
      </c>
    </row>
    <row r="797" spans="2:7" x14ac:dyDescent="0.25">
      <c r="B797" s="5">
        <v>46593</v>
      </c>
      <c r="C797" s="6" t="s">
        <v>192</v>
      </c>
      <c r="D797" s="6" t="s">
        <v>99</v>
      </c>
      <c r="E797" s="6" t="s">
        <v>100</v>
      </c>
      <c r="F797" s="5"/>
      <c r="G797" s="7">
        <v>-1863.6</v>
      </c>
    </row>
    <row r="798" spans="2:7" x14ac:dyDescent="0.25">
      <c r="B798" s="5">
        <v>46611</v>
      </c>
      <c r="C798" s="6" t="s">
        <v>134</v>
      </c>
      <c r="D798" s="5" t="s">
        <v>87</v>
      </c>
      <c r="E798" s="6" t="s">
        <v>135</v>
      </c>
      <c r="F798" s="5"/>
      <c r="G798" s="7">
        <v>1993.86</v>
      </c>
    </row>
    <row r="799" spans="2:7" x14ac:dyDescent="0.25">
      <c r="B799" s="5">
        <v>46624</v>
      </c>
      <c r="C799" s="6" t="s">
        <v>193</v>
      </c>
      <c r="D799" s="6" t="s">
        <v>99</v>
      </c>
      <c r="E799" s="6" t="s">
        <v>100</v>
      </c>
      <c r="F799" s="5"/>
      <c r="G799" s="7">
        <v>-1863.6</v>
      </c>
    </row>
    <row r="800" spans="2:7" x14ac:dyDescent="0.25">
      <c r="B800" s="5">
        <v>46642</v>
      </c>
      <c r="C800" s="6" t="s">
        <v>134</v>
      </c>
      <c r="D800" s="5" t="s">
        <v>87</v>
      </c>
      <c r="E800" s="6" t="s">
        <v>135</v>
      </c>
      <c r="F800" s="5"/>
      <c r="G800" s="7">
        <v>1993.86</v>
      </c>
    </row>
    <row r="801" spans="2:7" x14ac:dyDescent="0.25">
      <c r="B801" s="5">
        <v>46655</v>
      </c>
      <c r="C801" s="6" t="s">
        <v>194</v>
      </c>
      <c r="D801" s="6" t="s">
        <v>99</v>
      </c>
      <c r="E801" s="6" t="s">
        <v>100</v>
      </c>
      <c r="F801" s="5"/>
      <c r="G801" s="7">
        <v>-1863.6</v>
      </c>
    </row>
    <row r="802" spans="2:7" x14ac:dyDescent="0.25">
      <c r="B802" s="5">
        <v>46672</v>
      </c>
      <c r="C802" s="6" t="s">
        <v>134</v>
      </c>
      <c r="D802" s="5" t="s">
        <v>87</v>
      </c>
      <c r="E802" s="6" t="s">
        <v>135</v>
      </c>
      <c r="F802" s="5"/>
      <c r="G802" s="7">
        <v>1993.86</v>
      </c>
    </row>
    <row r="803" spans="2:7" x14ac:dyDescent="0.25">
      <c r="B803" s="5">
        <v>46685</v>
      </c>
      <c r="C803" s="6" t="s">
        <v>195</v>
      </c>
      <c r="D803" s="6" t="s">
        <v>99</v>
      </c>
      <c r="E803" s="6" t="s">
        <v>100</v>
      </c>
      <c r="F803" s="5"/>
      <c r="G803" s="7">
        <v>-1863.6</v>
      </c>
    </row>
    <row r="804" spans="2:7" x14ac:dyDescent="0.25">
      <c r="B804" s="5">
        <v>46703</v>
      </c>
      <c r="C804" s="6" t="s">
        <v>134</v>
      </c>
      <c r="D804" s="5" t="s">
        <v>87</v>
      </c>
      <c r="E804" s="6" t="s">
        <v>135</v>
      </c>
      <c r="F804" s="5"/>
      <c r="G804" s="7">
        <v>1993.86</v>
      </c>
    </row>
    <row r="805" spans="2:7" x14ac:dyDescent="0.25">
      <c r="B805" s="5">
        <v>46716</v>
      </c>
      <c r="C805" s="6" t="s">
        <v>196</v>
      </c>
      <c r="D805" s="6" t="s">
        <v>99</v>
      </c>
      <c r="E805" s="6" t="s">
        <v>100</v>
      </c>
      <c r="F805" s="5"/>
      <c r="G805" s="7">
        <v>-1863.6</v>
      </c>
    </row>
    <row r="806" spans="2:7" x14ac:dyDescent="0.25">
      <c r="B806" s="5">
        <v>46733</v>
      </c>
      <c r="C806" s="6" t="s">
        <v>134</v>
      </c>
      <c r="D806" s="5" t="s">
        <v>87</v>
      </c>
      <c r="E806" s="6" t="s">
        <v>135</v>
      </c>
      <c r="F806" s="5"/>
      <c r="G806" s="7">
        <v>1993.86</v>
      </c>
    </row>
    <row r="807" spans="2:7" x14ac:dyDescent="0.25">
      <c r="B807" s="5">
        <v>46746</v>
      </c>
      <c r="C807" s="6" t="s">
        <v>197</v>
      </c>
      <c r="D807" s="6" t="s">
        <v>99</v>
      </c>
      <c r="E807" s="6" t="s">
        <v>100</v>
      </c>
      <c r="F807" s="5"/>
      <c r="G807" s="7">
        <v>-1863.6</v>
      </c>
    </row>
    <row r="808" spans="2:7" x14ac:dyDescent="0.25">
      <c r="B808" s="5">
        <v>46777</v>
      </c>
      <c r="C808" s="6" t="s">
        <v>198</v>
      </c>
      <c r="D808" s="6" t="s">
        <v>99</v>
      </c>
      <c r="E808" s="6" t="s">
        <v>100</v>
      </c>
      <c r="F808" s="5"/>
      <c r="G808" s="7">
        <v>-1863.6</v>
      </c>
    </row>
    <row r="809" spans="2:7" x14ac:dyDescent="0.25">
      <c r="B809" s="5">
        <v>46808</v>
      </c>
      <c r="C809" s="6" t="s">
        <v>199</v>
      </c>
      <c r="D809" s="6" t="s">
        <v>99</v>
      </c>
      <c r="E809" s="6" t="s">
        <v>100</v>
      </c>
      <c r="F809" s="5"/>
      <c r="G809" s="7">
        <v>-1863.6</v>
      </c>
    </row>
    <row r="810" spans="2:7" x14ac:dyDescent="0.25">
      <c r="B810" s="5">
        <v>46837</v>
      </c>
      <c r="C810" s="6" t="s">
        <v>200</v>
      </c>
      <c r="D810" s="6" t="s">
        <v>99</v>
      </c>
      <c r="E810" s="6" t="s">
        <v>100</v>
      </c>
      <c r="F810" s="5"/>
      <c r="G810" s="7">
        <v>-1863.6</v>
      </c>
    </row>
    <row r="811" spans="2:7" x14ac:dyDescent="0.25">
      <c r="B811" s="5">
        <v>46868</v>
      </c>
      <c r="C811" s="6" t="s">
        <v>201</v>
      </c>
      <c r="D811" s="6" t="s">
        <v>99</v>
      </c>
      <c r="E811" s="6" t="s">
        <v>100</v>
      </c>
      <c r="F811" s="5"/>
      <c r="G811" s="7">
        <v>-1863.6</v>
      </c>
    </row>
    <row r="812" spans="2:7" x14ac:dyDescent="0.25">
      <c r="B812" s="5">
        <v>46898</v>
      </c>
      <c r="C812" s="6" t="s">
        <v>202</v>
      </c>
      <c r="D812" s="6" t="s">
        <v>99</v>
      </c>
      <c r="E812" s="6" t="s">
        <v>100</v>
      </c>
      <c r="F812" s="5"/>
      <c r="G812" s="7">
        <v>-1863.6</v>
      </c>
    </row>
    <row r="813" spans="2:7" x14ac:dyDescent="0.25">
      <c r="B813" s="5">
        <v>46929</v>
      </c>
      <c r="C813" s="6" t="s">
        <v>203</v>
      </c>
      <c r="D813" s="6" t="s">
        <v>99</v>
      </c>
      <c r="E813" s="6" t="s">
        <v>100</v>
      </c>
      <c r="F813" s="5"/>
      <c r="G813" s="7">
        <v>-1863.6</v>
      </c>
    </row>
    <row r="814" spans="2:7" x14ac:dyDescent="0.25">
      <c r="B814" s="5">
        <v>46959</v>
      </c>
      <c r="C814" s="6" t="s">
        <v>204</v>
      </c>
      <c r="D814" s="6" t="s">
        <v>99</v>
      </c>
      <c r="E814" s="6" t="s">
        <v>100</v>
      </c>
      <c r="F814" s="5"/>
      <c r="G814" s="7">
        <v>-1863.6</v>
      </c>
    </row>
    <row r="815" spans="2:7" x14ac:dyDescent="0.25">
      <c r="B815" s="5">
        <v>46990</v>
      </c>
      <c r="C815" s="6" t="s">
        <v>205</v>
      </c>
      <c r="D815" s="6" t="s">
        <v>99</v>
      </c>
      <c r="E815" s="6" t="s">
        <v>100</v>
      </c>
      <c r="F815" s="5"/>
      <c r="G815" s="7">
        <v>-1863.6</v>
      </c>
    </row>
    <row r="816" spans="2:7" x14ac:dyDescent="0.25">
      <c r="B816" s="5">
        <v>47021</v>
      </c>
      <c r="C816" s="6" t="s">
        <v>206</v>
      </c>
      <c r="D816" s="6" t="s">
        <v>99</v>
      </c>
      <c r="E816" s="6" t="s">
        <v>100</v>
      </c>
      <c r="F816" s="5"/>
      <c r="G816" s="7">
        <v>-1863.6</v>
      </c>
    </row>
    <row r="817" spans="2:7" x14ac:dyDescent="0.25">
      <c r="B817" s="5">
        <v>47051</v>
      </c>
      <c r="C817" s="6" t="s">
        <v>207</v>
      </c>
      <c r="D817" s="6" t="s">
        <v>99</v>
      </c>
      <c r="E817" s="6" t="s">
        <v>100</v>
      </c>
      <c r="F817" s="5"/>
      <c r="G817" s="7">
        <v>-1863.6</v>
      </c>
    </row>
    <row r="818" spans="2:7" x14ac:dyDescent="0.25">
      <c r="B818" s="5">
        <v>47082</v>
      </c>
      <c r="C818" s="6" t="s">
        <v>208</v>
      </c>
      <c r="D818" s="6" t="s">
        <v>99</v>
      </c>
      <c r="E818" s="6" t="s">
        <v>100</v>
      </c>
      <c r="F818" s="5"/>
      <c r="G818" s="7">
        <v>-1863.6</v>
      </c>
    </row>
    <row r="819" spans="2:7" x14ac:dyDescent="0.25">
      <c r="B819" s="5">
        <v>47112</v>
      </c>
      <c r="C819" s="6" t="s">
        <v>209</v>
      </c>
      <c r="D819" s="6" t="s">
        <v>99</v>
      </c>
      <c r="E819" s="6" t="s">
        <v>100</v>
      </c>
      <c r="F819" s="5"/>
      <c r="G819" s="7">
        <v>-1863.6</v>
      </c>
    </row>
    <row r="820" spans="2:7" x14ac:dyDescent="0.25">
      <c r="B820" s="5">
        <v>47143</v>
      </c>
      <c r="C820" s="6" t="s">
        <v>210</v>
      </c>
      <c r="D820" s="6" t="s">
        <v>99</v>
      </c>
      <c r="E820" s="6" t="s">
        <v>100</v>
      </c>
      <c r="F820" s="5"/>
      <c r="G820" s="7">
        <v>-1863.6</v>
      </c>
    </row>
    <row r="821" spans="2:7" x14ac:dyDescent="0.25">
      <c r="B821" s="5">
        <v>47174</v>
      </c>
      <c r="C821" s="6" t="s">
        <v>211</v>
      </c>
      <c r="D821" s="6" t="s">
        <v>99</v>
      </c>
      <c r="E821" s="6" t="s">
        <v>100</v>
      </c>
      <c r="F821" s="5"/>
      <c r="G821" s="7">
        <v>-1863.6</v>
      </c>
    </row>
    <row r="822" spans="2:7" x14ac:dyDescent="0.25">
      <c r="B822" s="5">
        <v>47202</v>
      </c>
      <c r="C822" s="6" t="s">
        <v>212</v>
      </c>
      <c r="D822" s="6" t="s">
        <v>99</v>
      </c>
      <c r="E822" s="6" t="s">
        <v>100</v>
      </c>
      <c r="F822" s="5"/>
      <c r="G822" s="7">
        <v>-1863.6</v>
      </c>
    </row>
    <row r="823" spans="2:7" x14ac:dyDescent="0.25">
      <c r="B823" s="5">
        <v>47233</v>
      </c>
      <c r="C823" s="6" t="s">
        <v>213</v>
      </c>
      <c r="D823" s="6" t="s">
        <v>99</v>
      </c>
      <c r="E823" s="6" t="s">
        <v>100</v>
      </c>
      <c r="F823" s="5"/>
      <c r="G823" s="7">
        <v>-1863.6</v>
      </c>
    </row>
    <row r="824" spans="2:7" x14ac:dyDescent="0.25">
      <c r="B824" s="5">
        <v>47263</v>
      </c>
      <c r="C824" s="6" t="s">
        <v>214</v>
      </c>
      <c r="D824" s="6" t="s">
        <v>99</v>
      </c>
      <c r="E824" s="6" t="s">
        <v>100</v>
      </c>
      <c r="F824" s="5"/>
      <c r="G824" s="7">
        <v>-1863.6</v>
      </c>
    </row>
    <row r="825" spans="2:7" x14ac:dyDescent="0.25">
      <c r="B825" s="5">
        <v>47294</v>
      </c>
      <c r="C825" s="6" t="s">
        <v>215</v>
      </c>
      <c r="D825" s="6" t="s">
        <v>99</v>
      </c>
      <c r="E825" s="6" t="s">
        <v>100</v>
      </c>
      <c r="F825" s="5"/>
      <c r="G825" s="7">
        <v>-1863.6</v>
      </c>
    </row>
    <row r="826" spans="2:7" x14ac:dyDescent="0.25">
      <c r="B826" s="5">
        <v>47324</v>
      </c>
      <c r="C826" s="6" t="s">
        <v>216</v>
      </c>
      <c r="D826" s="6" t="s">
        <v>99</v>
      </c>
      <c r="E826" s="6" t="s">
        <v>100</v>
      </c>
      <c r="F826" s="5"/>
      <c r="G826" s="7">
        <v>-1863.6</v>
      </c>
    </row>
    <row r="827" spans="2:7" x14ac:dyDescent="0.25">
      <c r="B827" s="5">
        <v>47355</v>
      </c>
      <c r="C827" s="6" t="s">
        <v>217</v>
      </c>
      <c r="D827" s="6" t="s">
        <v>99</v>
      </c>
      <c r="E827" s="6" t="s">
        <v>100</v>
      </c>
      <c r="F827" s="5"/>
      <c r="G827" s="7">
        <v>-1863.6</v>
      </c>
    </row>
    <row r="828" spans="2:7" x14ac:dyDescent="0.25">
      <c r="B828" s="5">
        <v>47386</v>
      </c>
      <c r="C828" s="6" t="s">
        <v>218</v>
      </c>
      <c r="D828" s="6" t="s">
        <v>99</v>
      </c>
      <c r="E828" s="6" t="s">
        <v>100</v>
      </c>
      <c r="F828" s="5"/>
      <c r="G828" s="7">
        <v>-1863.6</v>
      </c>
    </row>
    <row r="829" spans="2:7" x14ac:dyDescent="0.25">
      <c r="B829" s="5">
        <v>47416</v>
      </c>
      <c r="C829" s="6" t="s">
        <v>219</v>
      </c>
      <c r="D829" s="6" t="s">
        <v>99</v>
      </c>
      <c r="E829" s="6" t="s">
        <v>100</v>
      </c>
      <c r="F829" s="5"/>
      <c r="G829" s="7">
        <v>-1863.6</v>
      </c>
    </row>
    <row r="830" spans="2:7" x14ac:dyDescent="0.25">
      <c r="B830" s="5">
        <v>47447</v>
      </c>
      <c r="C830" s="6" t="s">
        <v>220</v>
      </c>
      <c r="D830" s="6" t="s">
        <v>99</v>
      </c>
      <c r="E830" s="6" t="s">
        <v>100</v>
      </c>
      <c r="F830" s="5"/>
      <c r="G830" s="7">
        <v>-1863.6</v>
      </c>
    </row>
    <row r="831" spans="2:7" x14ac:dyDescent="0.25">
      <c r="B831" s="5">
        <v>47477</v>
      </c>
      <c r="C831" s="6" t="s">
        <v>221</v>
      </c>
      <c r="D831" s="6" t="s">
        <v>99</v>
      </c>
      <c r="E831" s="6" t="s">
        <v>100</v>
      </c>
      <c r="F831" s="5"/>
      <c r="G831" s="7">
        <v>-1863.6</v>
      </c>
    </row>
    <row r="832" spans="2:7" x14ac:dyDescent="0.25">
      <c r="B832" s="5">
        <v>47508</v>
      </c>
      <c r="C832" s="6" t="s">
        <v>222</v>
      </c>
      <c r="D832" s="6" t="s">
        <v>99</v>
      </c>
      <c r="E832" s="6" t="s">
        <v>100</v>
      </c>
      <c r="F832" s="5"/>
      <c r="G832" s="7">
        <v>-1863.6</v>
      </c>
    </row>
    <row r="833" spans="2:7" x14ac:dyDescent="0.25">
      <c r="B833" s="5">
        <v>47539</v>
      </c>
      <c r="C833" s="6" t="s">
        <v>223</v>
      </c>
      <c r="D833" s="6" t="s">
        <v>99</v>
      </c>
      <c r="E833" s="6" t="s">
        <v>100</v>
      </c>
      <c r="F833" s="5"/>
      <c r="G833" s="7">
        <v>-1863.6</v>
      </c>
    </row>
    <row r="834" spans="2:7" x14ac:dyDescent="0.25">
      <c r="B834" s="5">
        <v>47567</v>
      </c>
      <c r="C834" s="6" t="s">
        <v>224</v>
      </c>
      <c r="D834" s="6" t="s">
        <v>99</v>
      </c>
      <c r="E834" s="6" t="s">
        <v>100</v>
      </c>
      <c r="F834" s="5"/>
      <c r="G834" s="7">
        <v>-1863.6</v>
      </c>
    </row>
    <row r="835" spans="2:7" x14ac:dyDescent="0.25">
      <c r="B835" s="5"/>
      <c r="C835" s="6"/>
      <c r="D835" s="6"/>
      <c r="E835" s="6"/>
      <c r="F835" s="5"/>
      <c r="G835" s="7"/>
    </row>
  </sheetData>
  <sheetProtection selectLockedCells="1" autoFilter="0"/>
  <mergeCells count="1">
    <mergeCell ref="B1:C3"/>
  </mergeCells>
  <phoneticPr fontId="8" type="noConversion"/>
  <dataValidations count="1">
    <dataValidation type="date" allowBlank="1" showInputMessage="1" showErrorMessage="1" errorTitle="Inserção de data" error="Voce precisa colocar uma data válida" promptTitle="Recebimento" prompt="Data do recebimento ou pagamento efetivo do valor. é importante para determinar se transação está pendente de execução" sqref="F5:F835" xr:uid="{A1BA770B-0C51-4B1C-8EED-8359991EEEBF}">
      <formula1>36526</formula1>
      <formula2>53327</formula2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5DB0B3-2FE0-4E3F-817C-7E755A43BC8B}">
          <x14:formula1>
            <xm:f>Listas!$B$2:$B$100</xm:f>
          </x14:formula1>
          <xm:sqref>D5:D835</xm:sqref>
        </x14:dataValidation>
        <x14:dataValidation type="list" allowBlank="1" showInputMessage="1" showErrorMessage="1" xr:uid="{98D66DEF-C709-47A0-8A9D-CEFF36C5B31E}">
          <x14:formula1>
            <xm:f>Listas!$A$2:$A$100</xm:f>
          </x14:formula1>
          <xm:sqref>E5:E835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13E1-2B62-4054-ACE5-FB691A27F675}">
  <sheetPr>
    <tabColor theme="3" tint="0.749992370372631"/>
  </sheetPr>
  <dimension ref="B1:M48"/>
  <sheetViews>
    <sheetView showGridLines="0" showRowColHeaders="0" topLeftCell="A42" workbookViewId="0">
      <selection activeCell="C45" sqref="C45"/>
    </sheetView>
  </sheetViews>
  <sheetFormatPr defaultRowHeight="13.5" x14ac:dyDescent="0.25"/>
  <cols>
    <col min="1" max="1" width="1.5703125" style="3" customWidth="1"/>
    <col min="2" max="2" width="37.28515625" style="3" bestFit="1" customWidth="1"/>
    <col min="3" max="3" width="39.7109375" style="28" customWidth="1"/>
    <col min="4" max="4" width="101.28515625" style="3" bestFit="1" customWidth="1"/>
    <col min="5" max="9" width="12.42578125" style="3" bestFit="1" customWidth="1"/>
    <col min="10" max="10" width="16" style="3" bestFit="1" customWidth="1"/>
    <col min="11" max="13" width="14.85546875" style="3" bestFit="1" customWidth="1"/>
    <col min="14" max="16384" width="9.140625" style="3"/>
  </cols>
  <sheetData>
    <row r="1" spans="2:13" x14ac:dyDescent="0.25">
      <c r="B1" s="32"/>
      <c r="C1" s="33"/>
      <c r="D1" s="34"/>
      <c r="E1" s="32"/>
      <c r="F1" s="32"/>
      <c r="G1" s="32"/>
      <c r="H1" s="32"/>
      <c r="I1" s="32"/>
      <c r="J1" s="35"/>
      <c r="K1" s="35"/>
      <c r="L1" s="35"/>
      <c r="M1" s="35"/>
    </row>
    <row r="2" spans="2:13" x14ac:dyDescent="0.25">
      <c r="B2" s="27" t="s">
        <v>12</v>
      </c>
      <c r="C2" s="30" t="s">
        <v>13</v>
      </c>
      <c r="D2" s="29" t="s">
        <v>14</v>
      </c>
    </row>
    <row r="3" spans="2:13" x14ac:dyDescent="0.25">
      <c r="B3" s="27" t="s">
        <v>15</v>
      </c>
      <c r="C3" s="48">
        <f>Definições!F2</f>
        <v>30</v>
      </c>
      <c r="D3" s="36" t="s">
        <v>16</v>
      </c>
    </row>
    <row r="4" spans="2:13" x14ac:dyDescent="0.25">
      <c r="B4" s="37" t="s">
        <v>0</v>
      </c>
      <c r="C4" s="38">
        <f>Definições!D2</f>
        <v>46132</v>
      </c>
      <c r="D4" s="39" t="s">
        <v>17</v>
      </c>
    </row>
    <row r="5" spans="2:13" x14ac:dyDescent="0.25">
      <c r="B5" s="37" t="s">
        <v>18</v>
      </c>
      <c r="C5" s="40">
        <f>Definições!D4</f>
        <v>0.75</v>
      </c>
      <c r="D5" s="39" t="s">
        <v>19</v>
      </c>
    </row>
    <row r="6" spans="2:13" x14ac:dyDescent="0.25">
      <c r="B6" s="37" t="s">
        <v>20</v>
      </c>
      <c r="C6" s="41">
        <f>(cel_necessidades_fixas*cel_receita_total)-(cel_necessidades_fixas_combustivel+cel_necessidades_fixas_estetica+cel_necessidades_fixas_corrida+cel_necessidades_fixas_farmacia+cel_necessidades_fixas_faxina+cel_necessidades_fixas_mercado)</f>
        <v>8196.2125000000015</v>
      </c>
      <c r="D6" s="39" t="s">
        <v>21</v>
      </c>
    </row>
    <row r="7" spans="2:13" x14ac:dyDescent="0.25">
      <c r="B7" s="37" t="s">
        <v>22</v>
      </c>
      <c r="C7" s="42">
        <f>Definições!C11</f>
        <v>2000</v>
      </c>
      <c r="D7" s="39" t="s">
        <v>23</v>
      </c>
    </row>
    <row r="8" spans="2:13" x14ac:dyDescent="0.25">
      <c r="B8" s="37" t="s">
        <v>24</v>
      </c>
      <c r="C8" s="42">
        <f>Definições!C12</f>
        <v>600</v>
      </c>
      <c r="D8" s="39" t="s">
        <v>25</v>
      </c>
    </row>
    <row r="9" spans="2:13" x14ac:dyDescent="0.25">
      <c r="B9" s="37" t="s">
        <v>26</v>
      </c>
      <c r="C9" s="42">
        <f>Definições!C13</f>
        <v>0</v>
      </c>
      <c r="D9" s="39" t="s">
        <v>27</v>
      </c>
    </row>
    <row r="10" spans="2:13" x14ac:dyDescent="0.25">
      <c r="B10" s="37" t="s">
        <v>28</v>
      </c>
      <c r="C10" s="42">
        <f>Definições!C14</f>
        <v>0</v>
      </c>
      <c r="D10" s="39" t="s">
        <v>29</v>
      </c>
    </row>
    <row r="11" spans="2:13" x14ac:dyDescent="0.25">
      <c r="B11" s="37" t="s">
        <v>30</v>
      </c>
      <c r="C11" s="42">
        <f>Definições!C15</f>
        <v>0</v>
      </c>
      <c r="D11" s="39" t="s">
        <v>31</v>
      </c>
    </row>
    <row r="12" spans="2:13" x14ac:dyDescent="0.25">
      <c r="B12" s="37" t="s">
        <v>32</v>
      </c>
      <c r="C12" s="42">
        <f>Definições!C16</f>
        <v>200</v>
      </c>
      <c r="D12" s="39" t="s">
        <v>33</v>
      </c>
    </row>
    <row r="13" spans="2:13" x14ac:dyDescent="0.25">
      <c r="B13" s="37" t="s">
        <v>34</v>
      </c>
      <c r="C13" s="42">
        <f>Definições!C17</f>
        <v>700</v>
      </c>
      <c r="D13" s="39" t="s">
        <v>35</v>
      </c>
    </row>
    <row r="14" spans="2:13" x14ac:dyDescent="0.25">
      <c r="B14" s="37" t="s">
        <v>36</v>
      </c>
      <c r="C14" s="40">
        <f>Definições!D3</f>
        <v>0.1</v>
      </c>
      <c r="D14" s="39" t="s">
        <v>37</v>
      </c>
    </row>
    <row r="15" spans="2:13" x14ac:dyDescent="0.25">
      <c r="B15" s="37" t="s">
        <v>38</v>
      </c>
      <c r="C15" s="41">
        <f>cel_necessidades_ocasionais*cel_receita_total</f>
        <v>1559.4950000000001</v>
      </c>
      <c r="D15" s="39" t="s">
        <v>39</v>
      </c>
    </row>
    <row r="16" spans="2:13" x14ac:dyDescent="0.25">
      <c r="B16" s="37" t="s">
        <v>40</v>
      </c>
      <c r="C16" s="40">
        <f>Definições!F4</f>
        <v>0.1</v>
      </c>
      <c r="D16" s="36" t="s">
        <v>41</v>
      </c>
    </row>
    <row r="17" spans="2:4" x14ac:dyDescent="0.25">
      <c r="B17" s="37" t="s">
        <v>42</v>
      </c>
      <c r="C17" s="41">
        <f>cel_lazer*cel_receita_total</f>
        <v>1559.4950000000001</v>
      </c>
      <c r="D17" s="36" t="s">
        <v>43</v>
      </c>
    </row>
    <row r="18" spans="2:4" x14ac:dyDescent="0.25">
      <c r="B18" s="37" t="s">
        <v>44</v>
      </c>
      <c r="C18" s="40">
        <f>Definições!F3</f>
        <v>0.05</v>
      </c>
      <c r="D18" s="36" t="s">
        <v>45</v>
      </c>
    </row>
    <row r="19" spans="2:4" x14ac:dyDescent="0.25">
      <c r="B19" s="37" t="s">
        <v>46</v>
      </c>
      <c r="C19" s="41">
        <f>cel_investimento*cel_receita_total</f>
        <v>779.74750000000006</v>
      </c>
      <c r="D19" s="36" t="s">
        <v>47</v>
      </c>
    </row>
    <row r="20" spans="2:4" x14ac:dyDescent="0.25">
      <c r="B20" s="37" t="s">
        <v>1</v>
      </c>
      <c r="C20" s="31">
        <f>YEAR(cel_data_inicio)</f>
        <v>2026</v>
      </c>
      <c r="D20" s="39" t="s">
        <v>48</v>
      </c>
    </row>
    <row r="21" spans="2:4" x14ac:dyDescent="0.25">
      <c r="B21" s="37" t="s">
        <v>2</v>
      </c>
      <c r="C21" s="43">
        <f>WEEKNUM(DATE(YEAR(cel_data_inicio), MONTH(cel_data_inicio), 1), 2)</f>
        <v>14</v>
      </c>
      <c r="D21" s="39" t="s">
        <v>49</v>
      </c>
    </row>
    <row r="22" spans="2:4" x14ac:dyDescent="0.25">
      <c r="B22" s="37" t="s">
        <v>3</v>
      </c>
      <c r="C22" s="44">
        <f>cel_data_inicio+cel_priodo_tamanho</f>
        <v>46162</v>
      </c>
      <c r="D22" s="39" t="s">
        <v>50</v>
      </c>
    </row>
    <row r="23" spans="2:4" x14ac:dyDescent="0.25">
      <c r="B23" s="37" t="s">
        <v>4</v>
      </c>
      <c r="C23" s="44">
        <f>cel_data_inicio</f>
        <v>46132</v>
      </c>
      <c r="D23" s="39" t="s">
        <v>51</v>
      </c>
    </row>
    <row r="24" spans="2:4" x14ac:dyDescent="0.25">
      <c r="B24" s="37" t="s">
        <v>5</v>
      </c>
      <c r="C24" s="44">
        <f>cel_semana1+7</f>
        <v>46139</v>
      </c>
      <c r="D24" s="39" t="s">
        <v>52</v>
      </c>
    </row>
    <row r="25" spans="2:4" x14ac:dyDescent="0.25">
      <c r="B25" s="37" t="s">
        <v>6</v>
      </c>
      <c r="C25" s="44">
        <f>cel_semana2+7</f>
        <v>46146</v>
      </c>
      <c r="D25" s="39" t="s">
        <v>53</v>
      </c>
    </row>
    <row r="26" spans="2:4" x14ac:dyDescent="0.25">
      <c r="B26" s="37" t="s">
        <v>7</v>
      </c>
      <c r="C26" s="44">
        <f>cel_semana3+7</f>
        <v>46153</v>
      </c>
      <c r="D26" s="39" t="s">
        <v>54</v>
      </c>
    </row>
    <row r="27" spans="2:4" x14ac:dyDescent="0.25">
      <c r="B27" s="37" t="s">
        <v>8</v>
      </c>
      <c r="C27" s="45">
        <f>(cel_semana2-cel_semana1)/(cel_data_fim-cel_data_inicio)</f>
        <v>0.23333333333333334</v>
      </c>
      <c r="D27" s="39" t="s">
        <v>55</v>
      </c>
    </row>
    <row r="28" spans="2:4" x14ac:dyDescent="0.25">
      <c r="B28" s="37" t="s">
        <v>9</v>
      </c>
      <c r="C28" s="45">
        <f>(cel_semana3-cel_semana2)/(cel_data_fim-cel_data_inicio)</f>
        <v>0.23333333333333334</v>
      </c>
      <c r="D28" s="39" t="s">
        <v>56</v>
      </c>
    </row>
    <row r="29" spans="2:4" x14ac:dyDescent="0.25">
      <c r="B29" s="37" t="s">
        <v>10</v>
      </c>
      <c r="C29" s="45">
        <f>(cel_semana4-cel_semana3)/(cel_data_fim-cel_data_inicio)</f>
        <v>0.23333333333333334</v>
      </c>
      <c r="D29" s="39" t="s">
        <v>57</v>
      </c>
    </row>
    <row r="30" spans="2:4" x14ac:dyDescent="0.25">
      <c r="B30" s="37" t="s">
        <v>11</v>
      </c>
      <c r="C30" s="45">
        <f>(cel_data_fim-cel_semana4)/(cel_data_fim-cel_data_inicio)</f>
        <v>0.3</v>
      </c>
      <c r="D30" s="39" t="s">
        <v>58</v>
      </c>
    </row>
    <row r="31" spans="2:4" x14ac:dyDescent="0.25">
      <c r="B31" s="37" t="s">
        <v>59</v>
      </c>
      <c r="C31" s="41">
        <f>SUMIFS(tb_recebiveis[valor],tb_recebiveis[Data],"&lt;"&amp;data_inicio,tb_recebiveis[Recebido],"",tb_recebiveis[Categoria],"&lt;&gt;"&amp;"Patrimonio*")</f>
        <v>0</v>
      </c>
      <c r="D31" s="39" t="s">
        <v>60</v>
      </c>
    </row>
    <row r="32" spans="2:4" x14ac:dyDescent="0.25">
      <c r="B32" s="37" t="s">
        <v>61</v>
      </c>
      <c r="C32" s="41">
        <f>(cel_recebiveis_atual_concreto+cel_recebiveis_atual_planejado)</f>
        <v>0</v>
      </c>
      <c r="D32" s="39"/>
    </row>
    <row r="33" spans="2:4" x14ac:dyDescent="0.25">
      <c r="B33" s="37" t="s">
        <v>62</v>
      </c>
      <c r="C33" s="41">
        <f>SUMIFS(tb_recebiveis[valor],tb_recebiveis[Data],"&gt;="&amp;data_inicio,tb_recebiveis[Data],"&lt;="&amp;data_fim,tb_recebiveis[Recebido],"",tb_recebiveis[Categoria],"&lt;&gt;"&amp;"Patrimonio*")</f>
        <v>0</v>
      </c>
      <c r="D33" s="39" t="s">
        <v>63</v>
      </c>
    </row>
    <row r="34" spans="2:4" x14ac:dyDescent="0.25">
      <c r="B34" s="37" t="s">
        <v>64</v>
      </c>
      <c r="C34" s="41">
        <f>SUMIFS(tb_recebiveis[valor],tb_recebiveis[Data],"&gt;="&amp;data_inicio,tb_recebiveis[Data],"&lt;="&amp;data_fim,tb_recebiveis[Recebido],"&gt;="&amp;data_inicio,tb_recebiveis[Recebido],"&lt;="&amp;data_fim,tb_recebiveis[Recebido],"&lt;&gt;"&amp;"",tb_recebiveis[Categoria],"&lt;&gt;"&amp;"Patrimonio*")</f>
        <v>0</v>
      </c>
      <c r="D34" s="39" t="s">
        <v>65</v>
      </c>
    </row>
    <row r="35" spans="2:4" x14ac:dyDescent="0.25">
      <c r="B35" s="37" t="s">
        <v>66</v>
      </c>
      <c r="C35" s="41">
        <f>SUMIFS(tb_recebiveis[valor],tb_recebiveis[Data],"&gt;"&amp;data_fim,tb_recebiveis[Recebido],"&gt;="&amp;data_inicio,tb_recebiveis[Recebido],"&lt;="&amp;data_fim,tb_recebiveis[Categoria],"&lt;&gt;"&amp;"Patrimonio*")</f>
        <v>0</v>
      </c>
      <c r="D35" s="39" t="s">
        <v>67</v>
      </c>
    </row>
    <row r="36" spans="2:4" x14ac:dyDescent="0.25">
      <c r="B36" s="37" t="s">
        <v>68</v>
      </c>
      <c r="C36" s="41">
        <f>SUMIFS(tb_recebiveis[valor],tb_recebiveis[Data],"&gt;"&amp;data_fim,tb_recebiveis[Recebido],"",tb_recebiveis[Categoria],"&lt;&gt;"&amp;"Patrimonio*")</f>
        <v>0</v>
      </c>
      <c r="D36" s="46" t="s">
        <v>69</v>
      </c>
    </row>
    <row r="37" spans="2:4" x14ac:dyDescent="0.25">
      <c r="B37" s="37" t="s">
        <v>70</v>
      </c>
      <c r="C37" s="47">
        <f>SUMIFS(tb_recebiveis[valor],tb_recebiveis[Data],"&lt;"&amp;data_inicio,tb_recebiveis[Recebido],"",tb_recebiveis[Categoria],"="&amp;"Patrimonio*")</f>
        <v>0</v>
      </c>
      <c r="D37" s="39" t="s">
        <v>71</v>
      </c>
    </row>
    <row r="38" spans="2:4" x14ac:dyDescent="0.25">
      <c r="B38" s="37" t="s">
        <v>72</v>
      </c>
      <c r="C38" s="47">
        <f>SUMIFS(tb_recebiveis[valor],tb_recebiveis[Data],"&gt;="&amp;data_inicio,tb_recebiveis[Data],"&lt;="&amp;data_fim,tb_recebiveis[Recebido],"",tb_recebiveis[Categoria],"="&amp;"Patrimonio*")</f>
        <v>0</v>
      </c>
      <c r="D38" s="39" t="s">
        <v>73</v>
      </c>
    </row>
    <row r="39" spans="2:4" x14ac:dyDescent="0.25">
      <c r="B39" s="37" t="s">
        <v>74</v>
      </c>
      <c r="C39" s="47">
        <f>SUMIFS(tb_recebiveis[valor],tb_recebiveis[Data],"&gt;="&amp;data_inicio,tb_recebiveis[Data],"&lt;="&amp;data_fim,tb_recebiveis[Recebido],"&gt;="&amp;data_inicio,tb_recebiveis[Recebido],"&lt;="&amp;data_fim,tb_recebiveis[Recebido],"&lt;&gt;"&amp;"",tb_recebiveis[Categoria],"="&amp;"Patrimonio*")</f>
        <v>0</v>
      </c>
      <c r="D39" s="39" t="s">
        <v>75</v>
      </c>
    </row>
    <row r="40" spans="2:4" x14ac:dyDescent="0.25">
      <c r="B40" s="37" t="s">
        <v>76</v>
      </c>
      <c r="C40" s="47">
        <f>SUMIFS(tb_recebiveis[valor],tb_recebiveis[Data],"&gt;"&amp;data_fim,tb_recebiveis[Recebido],"&gt;="&amp;data_inicio,tb_recebiveis[Recebido],"&lt;="&amp;data_fim,tb_recebiveis[Categoria],"="&amp;"Patrimonio*")</f>
        <v>0</v>
      </c>
      <c r="D40" s="39" t="s">
        <v>77</v>
      </c>
    </row>
    <row r="41" spans="2:4" x14ac:dyDescent="0.25">
      <c r="B41" s="37" t="s">
        <v>78</v>
      </c>
      <c r="C41" s="47">
        <f>SUMIFS(tb_recebiveis[valor],tb_recebiveis[Data],"&gt;"&amp;data_fim,tb_recebiveis[Recebido],"",tb_recebiveis[Categoria],"="&amp;"Patrimonio*")</f>
        <v>0</v>
      </c>
      <c r="D41" s="39" t="s">
        <v>79</v>
      </c>
    </row>
    <row r="42" spans="2:4" ht="162" x14ac:dyDescent="0.25">
      <c r="B42" s="37" t="s">
        <v>80</v>
      </c>
      <c r="C42" s="41" t="s">
        <v>81</v>
      </c>
      <c r="D42" s="39" t="s">
        <v>82</v>
      </c>
    </row>
    <row r="43" spans="2:4" ht="40.5" x14ac:dyDescent="0.25">
      <c r="B43" s="37" t="s">
        <v>83</v>
      </c>
      <c r="C43" s="41" t="s">
        <v>84</v>
      </c>
      <c r="D43" s="39" t="s">
        <v>85</v>
      </c>
    </row>
    <row r="44" spans="2:4" x14ac:dyDescent="0.25">
      <c r="B44" s="37" t="s">
        <v>86</v>
      </c>
      <c r="C44" s="41" t="s">
        <v>87</v>
      </c>
      <c r="D44" s="39" t="s">
        <v>88</v>
      </c>
    </row>
    <row r="45" spans="2:4" x14ac:dyDescent="0.25">
      <c r="B45" s="68" t="s">
        <v>256</v>
      </c>
      <c r="C45" s="53">
        <f>SUMIFS(tb_recebiveis[valor],tb_recebiveis[Data],"&gt;=" &amp; cel_data_inicio,tb_recebiveis[Data],"&lt;=" &amp; cel_data_fim,tb_recebiveis[Categoria],"Proventos[Outros]")</f>
        <v>15594.95</v>
      </c>
      <c r="D45" s="52" t="s">
        <v>257</v>
      </c>
    </row>
    <row r="46" spans="2:4" x14ac:dyDescent="0.25">
      <c r="B46" s="68" t="s">
        <v>262</v>
      </c>
      <c r="C46" s="43" t="str">
        <f ca="1">IF(AND(TODAY()&gt;=cel_semana1, TODAY()&lt;cel_semana2),"C",IF(AND(TODAY()&gt;=cel_semana2, TODAY()&lt;cel_semana3),"F",IF(AND(TODAY()&gt;=cel_semana3, TODAY()&lt;cel_semana4),"I","L")))</f>
        <v>L</v>
      </c>
      <c r="D46" s="52" t="s">
        <v>263</v>
      </c>
    </row>
    <row r="47" spans="2:4" x14ac:dyDescent="0.25">
      <c r="B47" s="68" t="s">
        <v>269</v>
      </c>
      <c r="C47" s="43" t="str">
        <f ca="1">IF(AND(TODAY()&gt;=cel_semana1, TODAY()&lt;cel_semana2),"cel_semana1",IF(AND(TODAY()&gt;=cel_semana2, TODAY()&lt;cel_semana3),"cel_semana2",IF(AND(TODAY()&gt;=cel_semana3, TODAY()&lt;cel_semana4),"cel_semana3","cel_semana4")))</f>
        <v>cel_semana4</v>
      </c>
      <c r="D47" s="52" t="s">
        <v>268</v>
      </c>
    </row>
    <row r="48" spans="2:4" x14ac:dyDescent="0.25">
      <c r="B48" s="3" t="s">
        <v>270</v>
      </c>
      <c r="C48" s="69" t="str">
        <f ca="1">IF(AND(TODAY()&gt;=cel_semana1, TODAY()&lt;cel_semana2),"cel_semana2",IF(AND(TODAY()&gt;=cel_semana2, TODAY()&lt;cel_semana3),"cel_semana3",IF(AND(TODAY()&gt;=cel_semana3, TODAY()&lt;cel_semana4),"cel_semana4","cel_data_fim")))</f>
        <v>cel_data_fim</v>
      </c>
      <c r="D48" s="52" t="s">
        <v>271</v>
      </c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66749DD-92EB-4BCE-BB5C-A2C947A3E34D}">
          <x14:formula1>
            <xm:f>Listas!$B$2:$B$100</xm:f>
          </x14:formula1>
          <xm:sqref>C44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49</vt:i4>
      </vt:variant>
    </vt:vector>
  </HeadingPairs>
  <TitlesOfParts>
    <vt:vector size="55" baseType="lpstr">
      <vt:lpstr>Listas</vt:lpstr>
      <vt:lpstr>Recebiveis - Resumo</vt:lpstr>
      <vt:lpstr>Definições</vt:lpstr>
      <vt:lpstr>Panorama</vt:lpstr>
      <vt:lpstr>Recebiveis</vt:lpstr>
      <vt:lpstr>Valores base</vt:lpstr>
      <vt:lpstr>cel_ano_inicio</vt:lpstr>
      <vt:lpstr>cel_conta_principal</vt:lpstr>
      <vt:lpstr>cel_data_fim</vt:lpstr>
      <vt:lpstr>cel_data_inicio</vt:lpstr>
      <vt:lpstr>cel_investimento</vt:lpstr>
      <vt:lpstr>cel_investimento_outros</vt:lpstr>
      <vt:lpstr>cel_lazer</vt:lpstr>
      <vt:lpstr>cel_lazer_outros</vt:lpstr>
      <vt:lpstr>cel_lista_categorias</vt:lpstr>
      <vt:lpstr>cel_lista_contas</vt:lpstr>
      <vt:lpstr>cel_necessidades_fixas</vt:lpstr>
      <vt:lpstr>cel_necessidades_fixas_aloc</vt:lpstr>
      <vt:lpstr>cel_necessidades_fixas_combustivel</vt:lpstr>
      <vt:lpstr>cel_necessidades_fixas_corrida</vt:lpstr>
      <vt:lpstr>cel_necessidades_fixas_estetica</vt:lpstr>
      <vt:lpstr>cel_necessidades_fixas_farmacia</vt:lpstr>
      <vt:lpstr>cel_necessidades_fixas_faxina</vt:lpstr>
      <vt:lpstr>cel_necessidades_fixas_mercado</vt:lpstr>
      <vt:lpstr>cel_necessidades_fixas_outros</vt:lpstr>
      <vt:lpstr>cel_necessidades_fixas_transporte</vt:lpstr>
      <vt:lpstr>cel_necessidades_ocasionais</vt:lpstr>
      <vt:lpstr>cel_necessidades_ocasionais_outros</vt:lpstr>
      <vt:lpstr>cel_patrimonio_atrasados</vt:lpstr>
      <vt:lpstr>cel_priodo_tamanho</vt:lpstr>
      <vt:lpstr>cel_recebiveis_adiantado</vt:lpstr>
      <vt:lpstr>cel_recebiveis_atrasados</vt:lpstr>
      <vt:lpstr>cel_recebiveis_atual</vt:lpstr>
      <vt:lpstr>cel_recebiveis_atual_concreto</vt:lpstr>
      <vt:lpstr>cel_recebiveis_atual_planejado</vt:lpstr>
      <vt:lpstr>cel_recebiveis_futuros</vt:lpstr>
      <vt:lpstr>cel_receita_total</vt:lpstr>
      <vt:lpstr>cel_semana</vt:lpstr>
      <vt:lpstr>cel_semana_atual</vt:lpstr>
      <vt:lpstr>cel_semana_atual_fim</vt:lpstr>
      <vt:lpstr>cel_semana1</vt:lpstr>
      <vt:lpstr>cel_semana1_perc</vt:lpstr>
      <vt:lpstr>cel_semana2</vt:lpstr>
      <vt:lpstr>cel_semana2_perc</vt:lpstr>
      <vt:lpstr>cel_semana3</vt:lpstr>
      <vt:lpstr>cel_semana3_perc</vt:lpstr>
      <vt:lpstr>cel_semana3_perf</vt:lpstr>
      <vt:lpstr>cel_semana4</vt:lpstr>
      <vt:lpstr>cel_semana4_perc</vt:lpstr>
      <vt:lpstr>celsemana</vt:lpstr>
      <vt:lpstr>col_semana_atual</vt:lpstr>
      <vt:lpstr>priodo_tamanho</vt:lpstr>
      <vt:lpstr>recebiveis_atrasado</vt:lpstr>
      <vt:lpstr>recebiveis_atual</vt:lpstr>
      <vt:lpstr>recebiveis_futuros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Ferreira de Souza</dc:creator>
  <cp:keywords/>
  <dc:description/>
  <cp:lastModifiedBy>Rodrigo Ferreira de Souza</cp:lastModifiedBy>
  <cp:revision/>
  <dcterms:created xsi:type="dcterms:W3CDTF">2025-05-20T12:53:07Z</dcterms:created>
  <dcterms:modified xsi:type="dcterms:W3CDTF">2026-05-18T00:28:04Z</dcterms:modified>
  <cp:category/>
  <cp:contentStatus/>
</cp:coreProperties>
</file>